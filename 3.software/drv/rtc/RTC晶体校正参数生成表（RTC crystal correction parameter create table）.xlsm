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19200" windowHeight="11640" firstSheet="1" activeTab="1"/>
  </bookViews>
  <sheets>
    <sheet name="多点测量multimetering" sheetId="1" r:id="rId1"/>
    <sheet name="三点法three-point method" sheetId="11" r:id="rId2"/>
    <sheet name="两点法two-point method" sheetId="5" r:id="rId3"/>
    <sheet name="单点法single-point method" sheetId="8" r:id="rId4"/>
    <sheet name="温度码字temperature code table" sheetId="9" r:id="rId5"/>
  </sheets>
  <calcPr calcId="125725"/>
</workbook>
</file>

<file path=xl/calcChain.xml><?xml version="1.0" encoding="utf-8"?>
<calcChain xmlns="http://schemas.openxmlformats.org/spreadsheetml/2006/main">
  <c r="G113" i="9"/>
  <c r="G4"/>
  <c r="G5"/>
  <c r="G6"/>
  <c r="G7"/>
  <c r="F7" s="1"/>
  <c r="G8"/>
  <c r="G9"/>
  <c r="F9" s="1"/>
  <c r="G10"/>
  <c r="G11"/>
  <c r="F11" s="1"/>
  <c r="G12"/>
  <c r="F12" s="1"/>
  <c r="G13"/>
  <c r="G14"/>
  <c r="G15"/>
  <c r="F15" s="1"/>
  <c r="G16"/>
  <c r="G17"/>
  <c r="G18"/>
  <c r="G19"/>
  <c r="F19" s="1"/>
  <c r="G20"/>
  <c r="F20" s="1"/>
  <c r="G21"/>
  <c r="G22"/>
  <c r="G23"/>
  <c r="F23" s="1"/>
  <c r="G24"/>
  <c r="G25"/>
  <c r="F25" s="1"/>
  <c r="G26"/>
  <c r="G27"/>
  <c r="F27" s="1"/>
  <c r="G28"/>
  <c r="G29"/>
  <c r="G30"/>
  <c r="G31"/>
  <c r="F31" s="1"/>
  <c r="G32"/>
  <c r="G33"/>
  <c r="G34"/>
  <c r="G35"/>
  <c r="G36"/>
  <c r="F36" s="1"/>
  <c r="G37"/>
  <c r="G38"/>
  <c r="G39"/>
  <c r="F39" s="1"/>
  <c r="G40"/>
  <c r="G41"/>
  <c r="F41" s="1"/>
  <c r="G42"/>
  <c r="G43"/>
  <c r="G44"/>
  <c r="G45"/>
  <c r="G46"/>
  <c r="G47"/>
  <c r="F47" s="1"/>
  <c r="G48"/>
  <c r="G49"/>
  <c r="G50"/>
  <c r="G51"/>
  <c r="F51" s="1"/>
  <c r="G52"/>
  <c r="F52" s="1"/>
  <c r="G53"/>
  <c r="G54"/>
  <c r="G55"/>
  <c r="F55" s="1"/>
  <c r="G56"/>
  <c r="G57"/>
  <c r="F57" s="1"/>
  <c r="G58"/>
  <c r="G59"/>
  <c r="F59" s="1"/>
  <c r="G60"/>
  <c r="F60" s="1"/>
  <c r="G61"/>
  <c r="G62"/>
  <c r="G63"/>
  <c r="G64"/>
  <c r="G65"/>
  <c r="G66"/>
  <c r="G67"/>
  <c r="F67" s="1"/>
  <c r="G68"/>
  <c r="F68" s="1"/>
  <c r="G69"/>
  <c r="F69" s="1"/>
  <c r="G70"/>
  <c r="G71"/>
  <c r="G72"/>
  <c r="G73"/>
  <c r="F73" s="1"/>
  <c r="G74"/>
  <c r="G75"/>
  <c r="F75" s="1"/>
  <c r="G76"/>
  <c r="F76" s="1"/>
  <c r="G77"/>
  <c r="G78"/>
  <c r="G79"/>
  <c r="F79" s="1"/>
  <c r="G80"/>
  <c r="G81"/>
  <c r="G82"/>
  <c r="G83"/>
  <c r="F83" s="1"/>
  <c r="G84"/>
  <c r="F84" s="1"/>
  <c r="G85"/>
  <c r="G86"/>
  <c r="G87"/>
  <c r="F87" s="1"/>
  <c r="G88"/>
  <c r="G89"/>
  <c r="F89" s="1"/>
  <c r="G90"/>
  <c r="G91"/>
  <c r="F91" s="1"/>
  <c r="G92"/>
  <c r="G93"/>
  <c r="G94"/>
  <c r="G95"/>
  <c r="F95" s="1"/>
  <c r="G96"/>
  <c r="G97"/>
  <c r="G98"/>
  <c r="G99"/>
  <c r="G100"/>
  <c r="F100" s="1"/>
  <c r="G101"/>
  <c r="G102"/>
  <c r="G103"/>
  <c r="F103" s="1"/>
  <c r="G104"/>
  <c r="G105"/>
  <c r="F105" s="1"/>
  <c r="G106"/>
  <c r="G107"/>
  <c r="G108"/>
  <c r="G109"/>
  <c r="G110"/>
  <c r="G111"/>
  <c r="F111" s="1"/>
  <c r="G112"/>
  <c r="G114"/>
  <c r="G115"/>
  <c r="G116"/>
  <c r="F116" s="1"/>
  <c r="G117"/>
  <c r="F117" s="1"/>
  <c r="G118"/>
  <c r="G119"/>
  <c r="G120"/>
  <c r="G121"/>
  <c r="F121" s="1"/>
  <c r="G122"/>
  <c r="G123"/>
  <c r="G124"/>
  <c r="F124" s="1"/>
  <c r="G125"/>
  <c r="G126"/>
  <c r="F126" s="1"/>
  <c r="G127"/>
  <c r="G128"/>
  <c r="G129"/>
  <c r="G130"/>
  <c r="G131"/>
  <c r="G132"/>
  <c r="F132" s="1"/>
  <c r="G133"/>
  <c r="F133" s="1"/>
  <c r="G134"/>
  <c r="G135"/>
  <c r="G136"/>
  <c r="G137"/>
  <c r="F137" s="1"/>
  <c r="G138"/>
  <c r="G139"/>
  <c r="G140"/>
  <c r="F140" s="1"/>
  <c r="G141"/>
  <c r="G142"/>
  <c r="G143"/>
  <c r="G144"/>
  <c r="G145"/>
  <c r="G146"/>
  <c r="G147"/>
  <c r="G148"/>
  <c r="F148" s="1"/>
  <c r="G149"/>
  <c r="G150"/>
  <c r="G151"/>
  <c r="G152"/>
  <c r="G153"/>
  <c r="F153" s="1"/>
  <c r="G154"/>
  <c r="G155"/>
  <c r="G156"/>
  <c r="G157"/>
  <c r="G158"/>
  <c r="G159"/>
  <c r="G160"/>
  <c r="G161"/>
  <c r="G162"/>
  <c r="F162" s="1"/>
  <c r="G163"/>
  <c r="G164"/>
  <c r="F164" s="1"/>
  <c r="G165"/>
  <c r="G166"/>
  <c r="G167"/>
  <c r="G168"/>
  <c r="G169"/>
  <c r="F169" s="1"/>
  <c r="G170"/>
  <c r="F170" s="1"/>
  <c r="G171"/>
  <c r="G172"/>
  <c r="F172" s="1"/>
  <c r="G173"/>
  <c r="G174"/>
  <c r="G175"/>
  <c r="G176"/>
  <c r="G177"/>
  <c r="G178"/>
  <c r="G179"/>
  <c r="G180"/>
  <c r="F180" s="1"/>
  <c r="G181"/>
  <c r="F181" s="1"/>
  <c r="G182"/>
  <c r="G183"/>
  <c r="G184"/>
  <c r="G185"/>
  <c r="F185" s="1"/>
  <c r="G186"/>
  <c r="G187"/>
  <c r="G188"/>
  <c r="F188" s="1"/>
  <c r="G189"/>
  <c r="G190"/>
  <c r="F190" s="1"/>
  <c r="G191"/>
  <c r="G192"/>
  <c r="G193"/>
  <c r="G194"/>
  <c r="G195"/>
  <c r="G196"/>
  <c r="F196" s="1"/>
  <c r="G197"/>
  <c r="F197" s="1"/>
  <c r="G198"/>
  <c r="G199"/>
  <c r="G200"/>
  <c r="G201"/>
  <c r="F201" s="1"/>
  <c r="G202"/>
  <c r="G203"/>
  <c r="G204"/>
  <c r="F204" s="1"/>
  <c r="G205"/>
  <c r="G206"/>
  <c r="G207"/>
  <c r="G208"/>
  <c r="G209"/>
  <c r="G210"/>
  <c r="G211"/>
  <c r="G212"/>
  <c r="F212" s="1"/>
  <c r="G213"/>
  <c r="G214"/>
  <c r="G215"/>
  <c r="G216"/>
  <c r="G217"/>
  <c r="F217" s="1"/>
  <c r="G218"/>
  <c r="G219"/>
  <c r="G220"/>
  <c r="G221"/>
  <c r="G222"/>
  <c r="G223"/>
  <c r="G224"/>
  <c r="G225"/>
  <c r="G226"/>
  <c r="F226" s="1"/>
  <c r="G227"/>
  <c r="G228"/>
  <c r="F228" s="1"/>
  <c r="G229"/>
  <c r="G230"/>
  <c r="G231"/>
  <c r="G232"/>
  <c r="G233"/>
  <c r="F233" s="1"/>
  <c r="G234"/>
  <c r="F234" s="1"/>
  <c r="G235"/>
  <c r="G236"/>
  <c r="F236" s="1"/>
  <c r="G237"/>
  <c r="G238"/>
  <c r="G239"/>
  <c r="G240"/>
  <c r="G241"/>
  <c r="G242"/>
  <c r="G243"/>
  <c r="G244"/>
  <c r="F244" s="1"/>
  <c r="G245"/>
  <c r="F245" s="1"/>
  <c r="G246"/>
  <c r="G247"/>
  <c r="G248"/>
  <c r="G249"/>
  <c r="F249" s="1"/>
  <c r="G250"/>
  <c r="G251"/>
  <c r="G252"/>
  <c r="F252" s="1"/>
  <c r="G253"/>
  <c r="G254"/>
  <c r="F254" s="1"/>
  <c r="G255"/>
  <c r="G256"/>
  <c r="G257"/>
  <c r="G258"/>
  <c r="G259"/>
  <c r="G260"/>
  <c r="F260" s="1"/>
  <c r="G261"/>
  <c r="F261" s="1"/>
  <c r="G262"/>
  <c r="G263"/>
  <c r="G264"/>
  <c r="G265"/>
  <c r="F265" s="1"/>
  <c r="G266"/>
  <c r="G267"/>
  <c r="G268"/>
  <c r="F268" s="1"/>
  <c r="G269"/>
  <c r="G270"/>
  <c r="G271"/>
  <c r="G272"/>
  <c r="G273"/>
  <c r="G274"/>
  <c r="G275"/>
  <c r="G276"/>
  <c r="F276" s="1"/>
  <c r="G277"/>
  <c r="G278"/>
  <c r="G279"/>
  <c r="G280"/>
  <c r="G281"/>
  <c r="F281" s="1"/>
  <c r="G282"/>
  <c r="G283"/>
  <c r="G284"/>
  <c r="G285"/>
  <c r="G286"/>
  <c r="G287"/>
  <c r="G288"/>
  <c r="G289"/>
  <c r="G290"/>
  <c r="F290" s="1"/>
  <c r="G291"/>
  <c r="G292"/>
  <c r="F292" s="1"/>
  <c r="G293"/>
  <c r="G294"/>
  <c r="G295"/>
  <c r="G296"/>
  <c r="G297"/>
  <c r="F297" s="1"/>
  <c r="G298"/>
  <c r="F298" s="1"/>
  <c r="G299"/>
  <c r="G300"/>
  <c r="G301"/>
  <c r="G302"/>
  <c r="G303"/>
  <c r="G304"/>
  <c r="F304" s="1"/>
  <c r="G305"/>
  <c r="G306"/>
  <c r="G307"/>
  <c r="G308"/>
  <c r="F308" s="1"/>
  <c r="G309"/>
  <c r="F309" s="1"/>
  <c r="G310"/>
  <c r="G311"/>
  <c r="G312"/>
  <c r="G313"/>
  <c r="F313" s="1"/>
  <c r="G314"/>
  <c r="G315"/>
  <c r="G316"/>
  <c r="G317"/>
  <c r="G318"/>
  <c r="F318" s="1"/>
  <c r="G319"/>
  <c r="G320"/>
  <c r="F320" s="1"/>
  <c r="G321"/>
  <c r="G322"/>
  <c r="G323"/>
  <c r="G324"/>
  <c r="F324" s="1"/>
  <c r="G325"/>
  <c r="F325" s="1"/>
  <c r="G326"/>
  <c r="F326" s="1"/>
  <c r="G327"/>
  <c r="G328"/>
  <c r="G329"/>
  <c r="G330"/>
  <c r="G331"/>
  <c r="G332"/>
  <c r="F332" s="1"/>
  <c r="G333"/>
  <c r="F333" s="1"/>
  <c r="G334"/>
  <c r="F334" s="1"/>
  <c r="G335"/>
  <c r="G336"/>
  <c r="G337"/>
  <c r="G338"/>
  <c r="G339"/>
  <c r="G340"/>
  <c r="F340" s="1"/>
  <c r="G341"/>
  <c r="F341" s="1"/>
  <c r="G342"/>
  <c r="F342" s="1"/>
  <c r="G343"/>
  <c r="G344"/>
  <c r="G345"/>
  <c r="G346"/>
  <c r="G347"/>
  <c r="G348"/>
  <c r="F348" s="1"/>
  <c r="G349"/>
  <c r="F349" s="1"/>
  <c r="G350"/>
  <c r="F350" s="1"/>
  <c r="G351"/>
  <c r="G352"/>
  <c r="F352" s="1"/>
  <c r="G353"/>
  <c r="G354"/>
  <c r="G355"/>
  <c r="G356"/>
  <c r="F356" s="1"/>
  <c r="G357"/>
  <c r="G358"/>
  <c r="F358" s="1"/>
  <c r="G359"/>
  <c r="G360"/>
  <c r="G361"/>
  <c r="G362"/>
  <c r="G363"/>
  <c r="G3"/>
  <c r="F10"/>
  <c r="F14"/>
  <c r="F18"/>
  <c r="F21"/>
  <c r="F26"/>
  <c r="F28"/>
  <c r="F30"/>
  <c r="F34"/>
  <c r="F35"/>
  <c r="F37"/>
  <c r="F42"/>
  <c r="F43"/>
  <c r="F44"/>
  <c r="F46"/>
  <c r="F50"/>
  <c r="F53"/>
  <c r="F58"/>
  <c r="F62"/>
  <c r="F63"/>
  <c r="F66"/>
  <c r="F71"/>
  <c r="F74"/>
  <c r="F78"/>
  <c r="F82"/>
  <c r="F85"/>
  <c r="F90"/>
  <c r="F92"/>
  <c r="F94"/>
  <c r="F98"/>
  <c r="F99"/>
  <c r="F101"/>
  <c r="F106"/>
  <c r="F107"/>
  <c r="F108"/>
  <c r="F110"/>
  <c r="F114"/>
  <c r="F115"/>
  <c r="F119"/>
  <c r="F122"/>
  <c r="F123"/>
  <c r="F127"/>
  <c r="F130"/>
  <c r="F131"/>
  <c r="F135"/>
  <c r="F138"/>
  <c r="F139"/>
  <c r="F142"/>
  <c r="F143"/>
  <c r="F146"/>
  <c r="F147"/>
  <c r="F149"/>
  <c r="F151"/>
  <c r="F154"/>
  <c r="F155"/>
  <c r="F156"/>
  <c r="F158"/>
  <c r="F159"/>
  <c r="F163"/>
  <c r="F165"/>
  <c r="F167"/>
  <c r="F171"/>
  <c r="F174"/>
  <c r="F175"/>
  <c r="F178"/>
  <c r="F179"/>
  <c r="F183"/>
  <c r="F186"/>
  <c r="F187"/>
  <c r="F191"/>
  <c r="F194"/>
  <c r="F195"/>
  <c r="F199"/>
  <c r="F202"/>
  <c r="F203"/>
  <c r="F206"/>
  <c r="F207"/>
  <c r="F210"/>
  <c r="F211"/>
  <c r="F213"/>
  <c r="F215"/>
  <c r="F218"/>
  <c r="F219"/>
  <c r="F220"/>
  <c r="F222"/>
  <c r="F223"/>
  <c r="F227"/>
  <c r="F229"/>
  <c r="F231"/>
  <c r="F235"/>
  <c r="F238"/>
  <c r="F239"/>
  <c r="F242"/>
  <c r="F243"/>
  <c r="F247"/>
  <c r="F250"/>
  <c r="F251"/>
  <c r="F255"/>
  <c r="F258"/>
  <c r="F259"/>
  <c r="F263"/>
  <c r="F266"/>
  <c r="F267"/>
  <c r="F270"/>
  <c r="F271"/>
  <c r="F274"/>
  <c r="F275"/>
  <c r="F277"/>
  <c r="F279"/>
  <c r="F282"/>
  <c r="F283"/>
  <c r="F284"/>
  <c r="F286"/>
  <c r="F287"/>
  <c r="F291"/>
  <c r="F293"/>
  <c r="F295"/>
  <c r="F299"/>
  <c r="F302"/>
  <c r="F303"/>
  <c r="F306"/>
  <c r="F307"/>
  <c r="F311"/>
  <c r="F312"/>
  <c r="F314"/>
  <c r="F315"/>
  <c r="F319"/>
  <c r="F322"/>
  <c r="F323"/>
  <c r="F327"/>
  <c r="F330"/>
  <c r="F331"/>
  <c r="F335"/>
  <c r="F338"/>
  <c r="F339"/>
  <c r="F343"/>
  <c r="F346"/>
  <c r="F347"/>
  <c r="F351"/>
  <c r="F354"/>
  <c r="F355"/>
  <c r="F357"/>
  <c r="F359"/>
  <c r="F362"/>
  <c r="F363"/>
  <c r="F5"/>
  <c r="F6"/>
  <c r="F3"/>
  <c r="F280" l="1"/>
  <c r="F264"/>
  <c r="F248"/>
  <c r="F232"/>
  <c r="F216"/>
  <c r="F200"/>
  <c r="F184"/>
  <c r="F168"/>
  <c r="F152"/>
  <c r="F136"/>
  <c r="F120"/>
  <c r="F104"/>
  <c r="F88"/>
  <c r="F72"/>
  <c r="F56"/>
  <c r="F40"/>
  <c r="F24"/>
  <c r="F8"/>
  <c r="F344"/>
  <c r="F316"/>
  <c r="F296"/>
  <c r="F288"/>
  <c r="F272"/>
  <c r="F256"/>
  <c r="F240"/>
  <c r="F224"/>
  <c r="F208"/>
  <c r="F192"/>
  <c r="F176"/>
  <c r="F160"/>
  <c r="F144"/>
  <c r="F128"/>
  <c r="F112"/>
  <c r="F96"/>
  <c r="F80"/>
  <c r="F64"/>
  <c r="F48"/>
  <c r="F32"/>
  <c r="F16"/>
  <c r="F336"/>
  <c r="F300"/>
  <c r="F4"/>
  <c r="F360"/>
  <c r="F328"/>
  <c r="F321"/>
  <c r="F317"/>
  <c r="F305"/>
  <c r="F301"/>
  <c r="F289"/>
  <c r="F285"/>
  <c r="F273"/>
  <c r="F269"/>
  <c r="F257"/>
  <c r="F253"/>
  <c r="F241"/>
  <c r="F237"/>
  <c r="F225"/>
  <c r="F221"/>
  <c r="F209"/>
  <c r="F205"/>
  <c r="F193"/>
  <c r="F189"/>
  <c r="F177"/>
  <c r="F173"/>
  <c r="F161"/>
  <c r="F157"/>
  <c r="F145"/>
  <c r="F141"/>
  <c r="F129"/>
  <c r="F125"/>
  <c r="F113"/>
  <c r="F109"/>
  <c r="F97"/>
  <c r="F93"/>
  <c r="F81"/>
  <c r="F77"/>
  <c r="F65"/>
  <c r="F61"/>
  <c r="F49"/>
  <c r="F45"/>
  <c r="F33"/>
  <c r="F29"/>
  <c r="F17"/>
  <c r="F13"/>
  <c r="F361"/>
  <c r="F353"/>
  <c r="F345"/>
  <c r="F337"/>
  <c r="F329"/>
  <c r="F310"/>
  <c r="F294"/>
  <c r="F278"/>
  <c r="F262"/>
  <c r="F246"/>
  <c r="F230"/>
  <c r="F214"/>
  <c r="F198"/>
  <c r="F182"/>
  <c r="F166"/>
  <c r="F150"/>
  <c r="F134"/>
  <c r="F118"/>
  <c r="F102"/>
  <c r="F86"/>
  <c r="F70"/>
  <c r="F54"/>
  <c r="F38"/>
  <c r="F22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3"/>
  <c r="D258"/>
  <c r="C258"/>
  <c r="D257"/>
  <c r="C257"/>
  <c r="D256"/>
  <c r="C256"/>
  <c r="D255"/>
  <c r="C255"/>
  <c r="D254"/>
  <c r="C254"/>
  <c r="D253"/>
  <c r="C253"/>
  <c r="D252"/>
  <c r="C252"/>
  <c r="D251"/>
  <c r="C251"/>
  <c r="D250"/>
  <c r="C250"/>
  <c r="D249"/>
  <c r="C249"/>
  <c r="D248"/>
  <c r="C248"/>
  <c r="D247"/>
  <c r="C247"/>
  <c r="D246"/>
  <c r="C246"/>
  <c r="D245"/>
  <c r="C245"/>
  <c r="D244"/>
  <c r="C244"/>
  <c r="D243"/>
  <c r="C243"/>
  <c r="D242"/>
  <c r="C242"/>
  <c r="D241"/>
  <c r="C241"/>
  <c r="D240"/>
  <c r="C240"/>
  <c r="D239"/>
  <c r="C239"/>
  <c r="D238"/>
  <c r="C238"/>
  <c r="D237"/>
  <c r="C237"/>
  <c r="D236"/>
  <c r="C236"/>
  <c r="D235"/>
  <c r="C235"/>
  <c r="D234"/>
  <c r="C234"/>
  <c r="D233"/>
  <c r="C233"/>
  <c r="D232"/>
  <c r="C232"/>
  <c r="D231"/>
  <c r="C231"/>
  <c r="D230"/>
  <c r="C230"/>
  <c r="D229"/>
  <c r="C229"/>
  <c r="D228"/>
  <c r="C228"/>
  <c r="D227"/>
  <c r="C227"/>
  <c r="D226"/>
  <c r="C226"/>
  <c r="D225"/>
  <c r="C225"/>
  <c r="D224"/>
  <c r="C224"/>
  <c r="D223"/>
  <c r="C223"/>
  <c r="D222"/>
  <c r="C222"/>
  <c r="D221"/>
  <c r="C221"/>
  <c r="D220"/>
  <c r="C220"/>
  <c r="D219"/>
  <c r="C219"/>
  <c r="D218"/>
  <c r="C218"/>
  <c r="D217"/>
  <c r="C217"/>
  <c r="D216"/>
  <c r="C216"/>
  <c r="D215"/>
  <c r="C215"/>
  <c r="D214"/>
  <c r="C214"/>
  <c r="D213"/>
  <c r="C213"/>
  <c r="D212"/>
  <c r="C212"/>
  <c r="D211"/>
  <c r="C211"/>
  <c r="D210"/>
  <c r="C210"/>
  <c r="D209"/>
  <c r="C209"/>
  <c r="D208"/>
  <c r="C208"/>
  <c r="D207"/>
  <c r="C207"/>
  <c r="D206"/>
  <c r="C206"/>
  <c r="D205"/>
  <c r="C205"/>
  <c r="D204"/>
  <c r="C204"/>
  <c r="D203"/>
  <c r="C203"/>
  <c r="D202"/>
  <c r="C202"/>
  <c r="D201"/>
  <c r="C201"/>
  <c r="D200"/>
  <c r="C200"/>
  <c r="D199"/>
  <c r="C199"/>
  <c r="D198"/>
  <c r="C198"/>
  <c r="D197"/>
  <c r="C197"/>
  <c r="D196"/>
  <c r="C196"/>
  <c r="D195"/>
  <c r="C195"/>
  <c r="D194"/>
  <c r="C194"/>
  <c r="D193"/>
  <c r="C193"/>
  <c r="D192"/>
  <c r="C192"/>
  <c r="D191"/>
  <c r="C191"/>
  <c r="D190"/>
  <c r="C190"/>
  <c r="D189"/>
  <c r="C189"/>
  <c r="D188"/>
  <c r="C188"/>
  <c r="D187"/>
  <c r="C187"/>
  <c r="D186"/>
  <c r="C186"/>
  <c r="D185"/>
  <c r="C185"/>
  <c r="D184"/>
  <c r="C184"/>
  <c r="D183"/>
  <c r="C183"/>
  <c r="D182"/>
  <c r="C182"/>
  <c r="D181"/>
  <c r="C181"/>
  <c r="D180"/>
  <c r="C180"/>
  <c r="D179"/>
  <c r="C179"/>
  <c r="D178"/>
  <c r="C178"/>
  <c r="D177"/>
  <c r="C177"/>
  <c r="D176"/>
  <c r="C176"/>
  <c r="D175"/>
  <c r="C175"/>
  <c r="D174"/>
  <c r="C174"/>
  <c r="D173"/>
  <c r="C173"/>
  <c r="D172"/>
  <c r="C172"/>
  <c r="D171"/>
  <c r="C171"/>
  <c r="D170"/>
  <c r="C170"/>
  <c r="D169"/>
  <c r="C169"/>
  <c r="D168"/>
  <c r="C168"/>
  <c r="D167"/>
  <c r="C167"/>
  <c r="D166"/>
  <c r="C166"/>
  <c r="D165"/>
  <c r="C165"/>
  <c r="D164"/>
  <c r="C164"/>
  <c r="D163"/>
  <c r="C163"/>
  <c r="D162"/>
  <c r="C162"/>
  <c r="D161"/>
  <c r="C161"/>
  <c r="D160"/>
  <c r="C160"/>
  <c r="D159"/>
  <c r="C159"/>
  <c r="D158"/>
  <c r="C158"/>
  <c r="D157"/>
  <c r="C157"/>
  <c r="D156"/>
  <c r="C156"/>
  <c r="D155"/>
  <c r="C155"/>
  <c r="D154"/>
  <c r="C154"/>
  <c r="D153"/>
  <c r="C153"/>
  <c r="D152"/>
  <c r="C152"/>
  <c r="D151"/>
  <c r="C151"/>
  <c r="D150"/>
  <c r="C150"/>
  <c r="D149"/>
  <c r="C149"/>
  <c r="D148"/>
  <c r="C148"/>
  <c r="D147"/>
  <c r="C147"/>
  <c r="D146"/>
  <c r="C146"/>
  <c r="D145"/>
  <c r="C145"/>
  <c r="D144"/>
  <c r="C144"/>
  <c r="D143"/>
  <c r="C143"/>
  <c r="D142"/>
  <c r="C142"/>
  <c r="D141"/>
  <c r="C141"/>
  <c r="D140"/>
  <c r="C140"/>
  <c r="D139"/>
  <c r="C139"/>
  <c r="D138"/>
  <c r="C138"/>
  <c r="D137"/>
  <c r="C137"/>
  <c r="D136"/>
  <c r="C136"/>
  <c r="D135"/>
  <c r="C135"/>
  <c r="D134"/>
  <c r="C134"/>
  <c r="D133"/>
  <c r="C133"/>
  <c r="D132"/>
  <c r="C132"/>
  <c r="D131"/>
  <c r="C131"/>
  <c r="D130"/>
  <c r="C130"/>
  <c r="D129"/>
  <c r="C129"/>
  <c r="D128"/>
  <c r="C128"/>
  <c r="D127"/>
  <c r="C127"/>
  <c r="D126"/>
  <c r="C126"/>
  <c r="D125"/>
  <c r="C125"/>
  <c r="D124"/>
  <c r="C124"/>
  <c r="D123"/>
  <c r="C123"/>
  <c r="D122"/>
  <c r="C122"/>
  <c r="D121"/>
  <c r="C121"/>
  <c r="D120"/>
  <c r="C120"/>
  <c r="D119"/>
  <c r="C119"/>
  <c r="D118"/>
  <c r="C118"/>
  <c r="D117"/>
  <c r="C117"/>
  <c r="D116"/>
  <c r="C116"/>
  <c r="D115"/>
  <c r="C115"/>
  <c r="D114"/>
  <c r="C114"/>
  <c r="D113"/>
  <c r="C113"/>
  <c r="D112"/>
  <c r="C112"/>
  <c r="D111"/>
  <c r="C111"/>
  <c r="D110"/>
  <c r="C110"/>
  <c r="D109"/>
  <c r="C109"/>
  <c r="D108"/>
  <c r="C108"/>
  <c r="D107"/>
  <c r="C107"/>
  <c r="D106"/>
  <c r="C106"/>
  <c r="D105"/>
  <c r="C105"/>
  <c r="D104"/>
  <c r="C104"/>
  <c r="D103"/>
  <c r="C103"/>
  <c r="D102"/>
  <c r="C102"/>
  <c r="D101"/>
  <c r="C101"/>
  <c r="D100"/>
  <c r="C100"/>
  <c r="D99"/>
  <c r="C99"/>
  <c r="D98"/>
  <c r="C98"/>
  <c r="D97"/>
  <c r="C97"/>
  <c r="D96"/>
  <c r="C96"/>
  <c r="D95"/>
  <c r="C95"/>
  <c r="D94"/>
  <c r="C94"/>
  <c r="D93"/>
  <c r="C93"/>
  <c r="D92"/>
  <c r="C92"/>
  <c r="D91"/>
  <c r="C91"/>
  <c r="D90"/>
  <c r="C90"/>
  <c r="D89"/>
  <c r="C89"/>
  <c r="D88"/>
  <c r="C88"/>
  <c r="D87"/>
  <c r="C87"/>
  <c r="D86"/>
  <c r="C86"/>
  <c r="D85"/>
  <c r="C85"/>
  <c r="D84"/>
  <c r="C84"/>
  <c r="D83"/>
  <c r="C83"/>
  <c r="D82"/>
  <c r="C82"/>
  <c r="D81"/>
  <c r="C81"/>
  <c r="D80"/>
  <c r="C80"/>
  <c r="D79"/>
  <c r="C79"/>
  <c r="D78"/>
  <c r="C78"/>
  <c r="D77"/>
  <c r="C77"/>
  <c r="D76"/>
  <c r="C76"/>
  <c r="D75"/>
  <c r="C75"/>
  <c r="D74"/>
  <c r="C74"/>
  <c r="D73"/>
  <c r="C73"/>
  <c r="D72"/>
  <c r="C72"/>
  <c r="D71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D57"/>
  <c r="C57"/>
  <c r="D56"/>
  <c r="C56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C3"/>
</calcChain>
</file>

<file path=xl/sharedStrings.xml><?xml version="1.0" encoding="utf-8"?>
<sst xmlns="http://schemas.openxmlformats.org/spreadsheetml/2006/main" count="467" uniqueCount="131">
  <si>
    <t>LUT1</t>
  </si>
  <si>
    <t>LUT1</t>
    <phoneticPr fontId="1" type="noConversion"/>
  </si>
  <si>
    <t>LUT2</t>
  </si>
  <si>
    <t>LUT3</t>
  </si>
  <si>
    <t>LUT4</t>
  </si>
  <si>
    <t>LUT5</t>
  </si>
  <si>
    <t>LUT6</t>
  </si>
  <si>
    <t>LUT7</t>
  </si>
  <si>
    <t>LUT8</t>
  </si>
  <si>
    <t>LUT9</t>
  </si>
  <si>
    <t>LUT10</t>
  </si>
  <si>
    <t>LUT11</t>
  </si>
  <si>
    <t>LUT12</t>
  </si>
  <si>
    <t>LUT13</t>
  </si>
  <si>
    <t>LUT14</t>
  </si>
  <si>
    <t>LUT15</t>
  </si>
  <si>
    <t>LUT16</t>
  </si>
  <si>
    <t>LUT17</t>
  </si>
  <si>
    <t>LUT18</t>
  </si>
  <si>
    <t>LUT19</t>
  </si>
  <si>
    <t>LUT20</t>
  </si>
  <si>
    <t>LUT21</t>
  </si>
  <si>
    <t>LUT22</t>
  </si>
  <si>
    <t>LUT23</t>
  </si>
  <si>
    <t>LUT24</t>
  </si>
  <si>
    <t>LUT25</t>
  </si>
  <si>
    <t>LUT26</t>
  </si>
  <si>
    <t>LUT27</t>
  </si>
  <si>
    <t>LUT28</t>
  </si>
  <si>
    <t>LUT29</t>
  </si>
  <si>
    <t>LUT30</t>
  </si>
  <si>
    <t>LUT31</t>
  </si>
  <si>
    <t>LUT32</t>
  </si>
  <si>
    <t>LUT33</t>
  </si>
  <si>
    <t>LUT34</t>
  </si>
  <si>
    <t>LUT35</t>
  </si>
  <si>
    <t>LUT36</t>
  </si>
  <si>
    <t>LUT37</t>
  </si>
  <si>
    <t>LUT38</t>
  </si>
  <si>
    <t>LUT39</t>
  </si>
  <si>
    <t>LUT40</t>
  </si>
  <si>
    <t>LUT41</t>
  </si>
  <si>
    <t>LUT42</t>
  </si>
  <si>
    <t>LUT43</t>
  </si>
  <si>
    <t>LUT44</t>
  </si>
  <si>
    <t>LUT45</t>
  </si>
  <si>
    <t>LUT46</t>
  </si>
  <si>
    <t>LUT47</t>
  </si>
  <si>
    <t>ppm</t>
    <phoneticPr fontId="1" type="noConversion"/>
  </si>
  <si>
    <t>℃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</si>
  <si>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</si>
  <si>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</si>
  <si>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</si>
  <si>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r>
      <t>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=a</t>
    </r>
    <phoneticPr fontId="1" type="noConversion"/>
  </si>
  <si>
    <r>
      <t>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=-b/2a</t>
    </r>
    <phoneticPr fontId="1" type="noConversion"/>
  </si>
  <si>
    <r>
      <t>C=c-(b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/4a)</t>
    </r>
    <phoneticPr fontId="1" type="noConversion"/>
  </si>
  <si>
    <r>
      <t>℃</t>
    </r>
    <r>
      <rPr>
        <vertAlign val="superscript"/>
        <sz val="11"/>
        <color theme="1"/>
        <rFont val="宋体"/>
        <family val="3"/>
        <charset val="134"/>
        <scheme val="minor"/>
      </rPr>
      <t>-2</t>
    </r>
    <r>
      <rPr>
        <sz val="11"/>
        <color theme="1"/>
        <rFont val="宋体"/>
        <family val="3"/>
        <charset val="134"/>
        <scheme val="minor"/>
      </rPr>
      <t>*ppm</t>
    </r>
    <phoneticPr fontId="1" type="noConversion"/>
  </si>
  <si>
    <r>
      <t>b=((y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-y</t>
    </r>
    <r>
      <rPr>
        <vertAlign val="sub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)-a*(x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-x</t>
    </r>
    <r>
      <rPr>
        <vertAlign val="subscript"/>
        <sz val="11"/>
        <color theme="1"/>
        <rFont val="宋体"/>
        <family val="3"/>
        <charset val="134"/>
        <scheme val="minor"/>
      </rPr>
      <t>2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))/(x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-x</t>
    </r>
    <r>
      <rPr>
        <vertAlign val="sub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</si>
  <si>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>c=y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-a*x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-b*x</t>
    </r>
    <r>
      <rPr>
        <vertAlign val="subscript"/>
        <sz val="11"/>
        <color theme="1"/>
        <rFont val="宋体"/>
        <family val="3"/>
        <charset val="134"/>
        <scheme val="minor"/>
      </rPr>
      <t>1</t>
    </r>
    <phoneticPr fontId="1" type="noConversion"/>
  </si>
  <si>
    <t>（室温）</t>
  </si>
  <si>
    <r>
      <t>C=C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(T</t>
    </r>
    <r>
      <rPr>
        <vertAlign val="subscript"/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-T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)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1" type="noConversion"/>
  </si>
  <si>
    <t>DEC</t>
    <phoneticPr fontId="1" type="noConversion"/>
  </si>
  <si>
    <t>HEX</t>
    <phoneticPr fontId="1" type="noConversion"/>
  </si>
  <si>
    <t>AC</t>
  </si>
  <si>
    <t>B4</t>
  </si>
  <si>
    <t>BB</t>
  </si>
  <si>
    <t>C2</t>
  </si>
  <si>
    <t>C8</t>
  </si>
  <si>
    <t>CF</t>
  </si>
  <si>
    <t>D5</t>
  </si>
  <si>
    <t>DC</t>
  </si>
  <si>
    <t>E2</t>
  </si>
  <si>
    <t>E8</t>
  </si>
  <si>
    <t>EE</t>
  </si>
  <si>
    <t>F3</t>
  </si>
  <si>
    <t>F9</t>
  </si>
  <si>
    <t>FE</t>
  </si>
  <si>
    <t>D</t>
  </si>
  <si>
    <t>1B</t>
  </si>
  <si>
    <t>1F</t>
  </si>
  <si>
    <t>2B</t>
  </si>
  <si>
    <t>2E</t>
  </si>
  <si>
    <t>3B</t>
  </si>
  <si>
    <t>3E</t>
  </si>
  <si>
    <t>4A</t>
  </si>
  <si>
    <t>4B</t>
  </si>
  <si>
    <t>4D</t>
  </si>
  <si>
    <t>4F</t>
  </si>
  <si>
    <t>3</t>
  </si>
  <si>
    <t>8</t>
  </si>
  <si>
    <t>12</t>
  </si>
  <si>
    <t>16</t>
  </si>
  <si>
    <t>23</t>
  </si>
  <si>
    <t>27</t>
  </si>
  <si>
    <t>32</t>
  </si>
  <si>
    <t>35</t>
  </si>
  <si>
    <t>38</t>
  </si>
  <si>
    <t>41</t>
  </si>
  <si>
    <t>43</t>
  </si>
  <si>
    <t>45</t>
  </si>
  <si>
    <t>48</t>
  </si>
  <si>
    <t>50</t>
  </si>
  <si>
    <t>51</t>
  </si>
  <si>
    <t>52</t>
  </si>
  <si>
    <t>53</t>
  </si>
  <si>
    <t>54</t>
  </si>
  <si>
    <t>55</t>
  </si>
  <si>
    <t>测量值measure value</t>
    <phoneticPr fontId="1" type="noConversion"/>
  </si>
  <si>
    <t>温度temperature（℃）</t>
    <phoneticPr fontId="1" type="noConversion"/>
  </si>
  <si>
    <t>振荡频率oscillate frequency（Hz）</t>
    <phoneticPr fontId="1" type="noConversion"/>
  </si>
  <si>
    <t>偏差值offset value（PPM）</t>
    <phoneticPr fontId="1" type="noConversion"/>
  </si>
  <si>
    <t>配置值configure value(hex)</t>
    <phoneticPr fontId="1" type="noConversion"/>
  </si>
  <si>
    <t>LUT value</t>
    <phoneticPr fontId="1" type="noConversion"/>
  </si>
  <si>
    <t>TEMP_OFFSET配置值 TEMP_OFFSET configure value(hex)</t>
    <phoneticPr fontId="1" type="noConversion"/>
  </si>
  <si>
    <t>TOT_OFFSET配置值TOT_OFFSET configure value(hex)</t>
    <phoneticPr fontId="1" type="noConversion"/>
  </si>
  <si>
    <t>实测晶体曲线
measure crystal function at oscillate frequency  vs temperature</t>
    <phoneticPr fontId="1" type="noConversion"/>
  </si>
  <si>
    <r>
      <t xml:space="preserve">温度与频率偏差拟合曲线的系数
</t>
    </r>
    <r>
      <rPr>
        <sz val="11"/>
        <color theme="1"/>
        <rFont val="宋体"/>
        <family val="3"/>
        <charset val="134"/>
        <scheme val="minor"/>
      </rPr>
      <t xml:space="preserve">coefficient of crystal function at oscillate frequency offset vs temperature
</t>
    </r>
    <r>
      <rPr>
        <sz val="11"/>
        <color theme="1"/>
        <rFont val="宋体"/>
        <family val="2"/>
        <charset val="134"/>
        <scheme val="minor"/>
      </rPr>
      <t>（y=ax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+bx+c）</t>
    </r>
    <phoneticPr fontId="1" type="noConversion"/>
  </si>
  <si>
    <r>
      <t>RTC内置拟合晶体频率公式
RTC inner crystal function at oscillate frequency vs temperature：f=(K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*(T-T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)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>+1+C)*32768
             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=-4*10</t>
    </r>
    <r>
      <rPr>
        <vertAlign val="superscript"/>
        <sz val="11"/>
        <color theme="1"/>
        <rFont val="宋体"/>
        <family val="3"/>
        <charset val="134"/>
        <scheme val="minor"/>
      </rPr>
      <t>-2</t>
    </r>
    <r>
      <rPr>
        <sz val="11"/>
        <color theme="1"/>
        <rFont val="宋体"/>
        <family val="2"/>
        <charset val="134"/>
        <scheme val="minor"/>
      </rPr>
      <t>℃</t>
    </r>
    <r>
      <rPr>
        <vertAlign val="superscript"/>
        <sz val="11"/>
        <color theme="1"/>
        <rFont val="宋体"/>
        <family val="3"/>
        <charset val="134"/>
        <scheme val="minor"/>
      </rPr>
      <t>-2</t>
    </r>
    <r>
      <rPr>
        <sz val="11"/>
        <color theme="1"/>
        <rFont val="宋体"/>
        <family val="3"/>
        <charset val="134"/>
        <scheme val="minor"/>
      </rPr>
      <t>*ppm</t>
    </r>
    <r>
      <rPr>
        <sz val="11"/>
        <color theme="1"/>
        <rFont val="宋体"/>
        <family val="2"/>
        <charset val="134"/>
        <scheme val="minor"/>
      </rPr>
      <t xml:space="preserve">
             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=24.94℃
             C=0 ppm</t>
    </r>
    <phoneticPr fontId="1" type="noConversion"/>
  </si>
  <si>
    <r>
      <t>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=a已</t>
    </r>
    <r>
      <rPr>
        <sz val="11"/>
        <color theme="1"/>
        <rFont val="宋体"/>
        <family val="2"/>
        <charset val="134"/>
        <scheme val="minor"/>
      </rPr>
      <t>知</t>
    </r>
    <r>
      <rPr>
        <sz val="11"/>
        <color theme="1"/>
        <rFont val="宋体"/>
        <family val="3"/>
        <charset val="134"/>
        <scheme val="minor"/>
      </rPr>
      <t>known quantity</t>
    </r>
    <phoneticPr fontId="1" type="noConversion"/>
  </si>
  <si>
    <t>a已知known quantity</t>
    <phoneticPr fontId="1" type="noConversion"/>
  </si>
  <si>
    <r>
      <t>K</t>
    </r>
    <r>
      <rPr>
        <vertAlign val="subscript"/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>已知</t>
    </r>
    <r>
      <rPr>
        <sz val="11"/>
        <color theme="1"/>
        <rFont val="宋体"/>
        <family val="3"/>
        <charset val="134"/>
        <scheme val="minor"/>
      </rPr>
      <t>known quantity</t>
    </r>
    <phoneticPr fontId="1" type="noConversion"/>
  </si>
  <si>
    <r>
      <t>T</t>
    </r>
    <r>
      <rPr>
        <vertAlign val="subscript"/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已知</t>
    </r>
    <r>
      <rPr>
        <sz val="11"/>
        <color theme="1"/>
        <rFont val="宋体"/>
        <family val="3"/>
        <charset val="134"/>
        <scheme val="minor"/>
      </rPr>
      <t>known quantity</t>
    </r>
    <phoneticPr fontId="1" type="noConversion"/>
  </si>
  <si>
    <t>温度temperature（℃）</t>
    <phoneticPr fontId="1" type="noConversion"/>
  </si>
  <si>
    <t>温度temperature/℃</t>
    <phoneticPr fontId="1" type="noConversion"/>
  </si>
  <si>
    <t>DS1820（DS18B20）温度码字
DS1820（DS18B20）temperature code table</t>
    <phoneticPr fontId="1" type="noConversion"/>
  </si>
  <si>
    <t>8 Bits BIN</t>
    <phoneticPr fontId="1" type="noConversion"/>
  </si>
  <si>
    <t>振荡频率oscillate frequency（Hz）</t>
    <phoneticPr fontId="1" type="noConversion"/>
  </si>
  <si>
    <t>温度temperature (℃)</t>
    <phoneticPr fontId="1" type="noConversion"/>
  </si>
  <si>
    <t>配置值Configured value(hex)</t>
    <phoneticPr fontId="1" type="noConversion"/>
  </si>
  <si>
    <t>rtc内部t_sensor温度码字
Temperature Codes of the t_sensor in the RTC</t>
    <phoneticPr fontId="1" type="noConversion"/>
  </si>
  <si>
    <t>DS1820（DS18B20）温度码字转换成内部rtc内部t_sensor温度码字的公式
Convert DS1820 (DS18B20) temperature codes into the temperature codes of the t_sensor in the RTC as follows：
温度 = （ DS1820（DS18B20）温度码字 （12bit的补码））/ 2
Temperature = DS1820 (DS18B20) temperature code /2
Note that the temperature code is a 12-bit complement code.
rtc内部t_sensor温度码字 = （ 温度 + 40）* （180/255）
Temperature codes of the t_sensor in the RTC = (Temperature + 40) x (180/255)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</si>
</sst>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00_);[Red]\(0.0000\)"/>
    <numFmt numFmtId="178" formatCode="0.00000000_ "/>
    <numFmt numFmtId="179" formatCode="0_ 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vertAlign val="superscript"/>
      <sz val="11"/>
      <color theme="1"/>
      <name val="宋体"/>
      <family val="3"/>
      <charset val="134"/>
      <scheme val="minor"/>
    </font>
    <font>
      <vertAlign val="subscript"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>
      <alignment vertical="center"/>
    </xf>
    <xf numFmtId="0" fontId="5" fillId="0" borderId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9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7" fontId="0" fillId="2" borderId="1" xfId="0" quotePrefix="1" applyNumberForma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0" xfId="0" applyNumberFormat="1" applyBorder="1">
      <alignment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0" xfId="0" applyNumberFormat="1" applyFill="1" applyBorder="1">
      <alignment vertical="center"/>
    </xf>
    <xf numFmtId="178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 applyAlignment="1">
      <alignment horizontal="center" vertical="center" wrapText="1"/>
    </xf>
    <xf numFmtId="0" fontId="5" fillId="0" borderId="0" xfId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177" fontId="0" fillId="0" borderId="0" xfId="0" quotePrefix="1" applyNumberFormat="1" applyFill="1" applyBorder="1" applyAlignment="1">
      <alignment horizontal="center" vertical="center"/>
    </xf>
    <xf numFmtId="0" fontId="5" fillId="0" borderId="0" xfId="1" applyAlignment="1">
      <alignment horizontal="center" vertical="center"/>
    </xf>
    <xf numFmtId="0" fontId="5" fillId="2" borderId="1" xfId="1" applyFill="1" applyBorder="1">
      <alignment vertical="center"/>
    </xf>
    <xf numFmtId="0" fontId="5" fillId="0" borderId="0" xfId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9" fillId="0" borderId="0" xfId="5">
      <alignment vertical="center"/>
    </xf>
    <xf numFmtId="0" fontId="10" fillId="4" borderId="1" xfId="3" applyFont="1" applyBorder="1" applyAlignment="1">
      <alignment horizontal="center" vertical="center" wrapText="1"/>
    </xf>
    <xf numFmtId="0" fontId="10" fillId="4" borderId="2" xfId="3" applyFont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7" fillId="3" borderId="1" xfId="2" applyBorder="1" applyAlignment="1">
      <alignment horizontal="center" vertical="center" wrapText="1"/>
    </xf>
    <xf numFmtId="176" fontId="6" fillId="6" borderId="2" xfId="4" applyNumberFormat="1" applyFill="1" applyBorder="1" applyAlignment="1">
      <alignment horizontal="center" vertical="center" wrapText="1"/>
    </xf>
    <xf numFmtId="176" fontId="6" fillId="5" borderId="2" xfId="4" applyNumberFormat="1" applyBorder="1" applyAlignment="1">
      <alignment horizontal="center" vertical="center" wrapText="1"/>
    </xf>
    <xf numFmtId="0" fontId="9" fillId="0" borderId="0" xfId="5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6" fontId="0" fillId="0" borderId="0" xfId="0" quotePrefix="1" applyNumberFormat="1">
      <alignment vertical="center"/>
    </xf>
    <xf numFmtId="176" fontId="0" fillId="0" borderId="0" xfId="0" quotePrefix="1" applyNumberFormat="1" applyAlignment="1">
      <alignment horizontal="center" vertical="center"/>
    </xf>
    <xf numFmtId="0" fontId="5" fillId="0" borderId="0" xfId="1" quotePrefix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1" xfId="0" quotePrefix="1" applyNumberFormat="1" applyBorder="1" applyAlignment="1">
      <alignment horizontal="center" vertical="center"/>
    </xf>
    <xf numFmtId="176" fontId="0" fillId="0" borderId="0" xfId="0" quotePrefix="1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5" fillId="2" borderId="1" xfId="1" applyFill="1" applyBorder="1" applyAlignment="1">
      <alignment horizontal="center" vertical="center"/>
    </xf>
    <xf numFmtId="0" fontId="5" fillId="0" borderId="3" xfId="5" applyFont="1" applyBorder="1" applyAlignment="1">
      <alignment horizontal="center" vertical="center"/>
    </xf>
    <xf numFmtId="0" fontId="9" fillId="0" borderId="3" xfId="5" applyBorder="1" applyAlignment="1">
      <alignment horizontal="center" vertical="center"/>
    </xf>
    <xf numFmtId="0" fontId="5" fillId="0" borderId="0" xfId="5" applyFont="1" applyAlignment="1">
      <alignment horizontal="left" vertical="center" wrapText="1"/>
    </xf>
    <xf numFmtId="0" fontId="5" fillId="0" borderId="0" xfId="5" applyFont="1" applyAlignment="1">
      <alignment horizontal="left" vertical="center"/>
    </xf>
    <xf numFmtId="0" fontId="5" fillId="0" borderId="3" xfId="5" applyFont="1" applyBorder="1" applyAlignment="1">
      <alignment horizontal="center" vertical="center" wrapText="1"/>
    </xf>
    <xf numFmtId="0" fontId="5" fillId="6" borderId="1" xfId="5" applyFont="1" applyFill="1" applyBorder="1" applyAlignment="1">
      <alignment horizontal="center" vertical="center"/>
    </xf>
    <xf numFmtId="0" fontId="9" fillId="0" borderId="1" xfId="5" applyBorder="1" applyAlignment="1">
      <alignment horizontal="center" vertical="center"/>
    </xf>
    <xf numFmtId="0" fontId="9" fillId="7" borderId="1" xfId="5" applyFill="1" applyBorder="1" applyAlignment="1">
      <alignment horizontal="center" vertical="center"/>
    </xf>
  </cellXfs>
  <cellStyles count="6">
    <cellStyle name="20% - 强调文字颜色 1" xfId="4" builtinId="30"/>
    <cellStyle name="差" xfId="3" builtinId="27"/>
    <cellStyle name="常规" xfId="0" builtinId="0"/>
    <cellStyle name="常规 2" xfId="1"/>
    <cellStyle name="常规 3" xfId="5"/>
    <cellStyle name="好" xfId="2" builtinId="2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219"/>
  <sheetViews>
    <sheetView workbookViewId="0">
      <selection activeCell="C2" sqref="C2"/>
    </sheetView>
  </sheetViews>
  <sheetFormatPr defaultRowHeight="13.5"/>
  <cols>
    <col min="2" max="2" width="23.125" style="1" bestFit="1" customWidth="1"/>
    <col min="3" max="3" width="36.375" style="1" bestFit="1" customWidth="1"/>
    <col min="4" max="4" width="27.625" style="6" bestFit="1" customWidth="1"/>
    <col min="5" max="5" width="23.125" style="6" bestFit="1" customWidth="1"/>
    <col min="6" max="6" width="14.25" style="6" customWidth="1"/>
    <col min="7" max="7" width="29" style="8" bestFit="1" customWidth="1"/>
    <col min="8" max="8" width="56.375" style="6" customWidth="1"/>
    <col min="9" max="10" width="24.75" style="6" customWidth="1"/>
    <col min="11" max="11" width="20.75" style="6" customWidth="1"/>
    <col min="12" max="12" width="15" bestFit="1" customWidth="1"/>
    <col min="13" max="14" width="12.75" customWidth="1"/>
    <col min="15" max="15" width="18.25" customWidth="1"/>
  </cols>
  <sheetData>
    <row r="1" spans="2:17">
      <c r="B1" s="47" t="s">
        <v>107</v>
      </c>
      <c r="C1" s="47"/>
      <c r="F1" s="51" t="s">
        <v>112</v>
      </c>
      <c r="G1" s="51"/>
      <c r="H1" s="8"/>
      <c r="J1" s="32"/>
      <c r="K1"/>
    </row>
    <row r="2" spans="2:17" ht="40.5">
      <c r="B2" s="46" t="s">
        <v>122</v>
      </c>
      <c r="C2" s="44" t="s">
        <v>109</v>
      </c>
      <c r="D2" s="6" t="s">
        <v>110</v>
      </c>
      <c r="E2" s="44" t="s">
        <v>108</v>
      </c>
      <c r="G2" s="12" t="s">
        <v>111</v>
      </c>
      <c r="H2" s="45" t="s">
        <v>113</v>
      </c>
      <c r="I2" s="14" t="s">
        <v>114</v>
      </c>
      <c r="J2"/>
      <c r="K2"/>
    </row>
    <row r="3" spans="2:17">
      <c r="B3" s="2">
        <v>-40</v>
      </c>
      <c r="C3" s="3">
        <v>32762.472426897406</v>
      </c>
      <c r="D3" s="35">
        <v>-168.6881440002841</v>
      </c>
      <c r="E3" s="2">
        <v>-40</v>
      </c>
      <c r="F3" s="41" t="s">
        <v>1</v>
      </c>
      <c r="G3" s="36" t="s">
        <v>63</v>
      </c>
      <c r="H3" s="12">
        <v>0</v>
      </c>
      <c r="I3" s="12">
        <v>0</v>
      </c>
      <c r="J3"/>
      <c r="K3"/>
    </row>
    <row r="4" spans="2:17">
      <c r="B4" s="2">
        <v>-38.590000000000003</v>
      </c>
      <c r="C4" s="3">
        <v>32762.709854257151</v>
      </c>
      <c r="D4" s="35">
        <v>-161.4424359985822</v>
      </c>
      <c r="E4" s="2">
        <v>-38.590000000000003</v>
      </c>
      <c r="F4" s="41" t="s">
        <v>2</v>
      </c>
      <c r="G4" s="36" t="s">
        <v>64</v>
      </c>
    </row>
    <row r="5" spans="2:17">
      <c r="B5" s="2">
        <v>-37.18</v>
      </c>
      <c r="C5" s="3">
        <v>32762.942069932033</v>
      </c>
      <c r="D5" s="35">
        <v>-154.3557760009806</v>
      </c>
      <c r="E5" s="2">
        <v>-37.18</v>
      </c>
      <c r="F5" s="41" t="s">
        <v>3</v>
      </c>
      <c r="G5" s="36" t="s">
        <v>65</v>
      </c>
    </row>
    <row r="6" spans="2:17" ht="48" customHeight="1">
      <c r="B6" s="2">
        <v>-35.76</v>
      </c>
      <c r="C6" s="3">
        <v>32763.1706652672</v>
      </c>
      <c r="D6" s="7">
        <v>-147.37959999999717</v>
      </c>
      <c r="E6" s="2">
        <v>-35.76</v>
      </c>
      <c r="F6" s="41" t="s">
        <v>4</v>
      </c>
      <c r="G6" s="43" t="s">
        <v>66</v>
      </c>
      <c r="I6" s="50" t="s">
        <v>116</v>
      </c>
      <c r="J6" s="51"/>
      <c r="K6" s="51"/>
      <c r="L6" s="51"/>
    </row>
    <row r="7" spans="2:17">
      <c r="B7" s="2">
        <v>-34.35</v>
      </c>
      <c r="C7" s="3">
        <v>32763.392420610046</v>
      </c>
      <c r="D7" s="7">
        <v>-140.61216400151898</v>
      </c>
      <c r="E7" s="2">
        <v>-34.35</v>
      </c>
      <c r="F7" s="41" t="s">
        <v>5</v>
      </c>
      <c r="G7" s="43" t="s">
        <v>67</v>
      </c>
      <c r="I7" s="6" t="s">
        <v>50</v>
      </c>
      <c r="K7" s="6" t="s">
        <v>51</v>
      </c>
      <c r="L7" s="10" t="s">
        <v>52</v>
      </c>
    </row>
    <row r="8" spans="2:17">
      <c r="B8" s="2">
        <v>-32.94</v>
      </c>
      <c r="C8" s="3">
        <v>32763.608964268031</v>
      </c>
      <c r="D8" s="7">
        <v>-134.00377600092384</v>
      </c>
      <c r="E8" s="2">
        <v>-32.94</v>
      </c>
      <c r="F8" s="41" t="s">
        <v>6</v>
      </c>
      <c r="G8" s="43" t="s">
        <v>68</v>
      </c>
      <c r="I8" s="11">
        <v>-4.0000000000020103E-2</v>
      </c>
      <c r="J8" s="11"/>
      <c r="K8" s="11">
        <v>1.99520000000199</v>
      </c>
      <c r="L8" s="11">
        <v>-24.880143999911301</v>
      </c>
    </row>
    <row r="9" spans="2:17">
      <c r="B9" s="2">
        <v>-31.53</v>
      </c>
      <c r="C9" s="3">
        <v>32763.820296241152</v>
      </c>
      <c r="D9" s="7">
        <v>-127.55443599854476</v>
      </c>
      <c r="E9" s="2">
        <v>-31.53</v>
      </c>
      <c r="F9" s="41" t="s">
        <v>7</v>
      </c>
      <c r="G9" s="43" t="s">
        <v>69</v>
      </c>
      <c r="I9" s="51"/>
      <c r="J9" s="51"/>
      <c r="K9" s="51"/>
      <c r="L9" s="51"/>
    </row>
    <row r="10" spans="2:17" ht="28.5" customHeight="1">
      <c r="B10" s="2">
        <v>-30.12</v>
      </c>
      <c r="C10" s="3">
        <v>32764.026416529407</v>
      </c>
      <c r="D10" s="7">
        <v>-121.26414400026597</v>
      </c>
      <c r="E10" s="2">
        <v>-30.12</v>
      </c>
      <c r="F10" s="41" t="s">
        <v>8</v>
      </c>
      <c r="G10" s="43" t="s">
        <v>70</v>
      </c>
      <c r="I10" s="48" t="s">
        <v>115</v>
      </c>
      <c r="J10" s="49"/>
      <c r="K10" s="49"/>
      <c r="L10" t="s">
        <v>53</v>
      </c>
      <c r="M10" s="6">
        <v>-0.04</v>
      </c>
      <c r="N10" t="s">
        <v>56</v>
      </c>
    </row>
    <row r="11" spans="2:17" ht="16.5">
      <c r="B11" s="2">
        <v>-28.71</v>
      </c>
      <c r="C11" s="3">
        <v>32764.227325132801</v>
      </c>
      <c r="D11" s="7">
        <v>-115.13289999998122</v>
      </c>
      <c r="E11" s="2">
        <v>-28.71</v>
      </c>
      <c r="F11" s="41" t="s">
        <v>9</v>
      </c>
      <c r="G11" s="43" t="s">
        <v>71</v>
      </c>
      <c r="I11"/>
      <c r="J11"/>
      <c r="K11"/>
      <c r="L11" t="s">
        <v>54</v>
      </c>
      <c r="M11" s="6">
        <v>24.94</v>
      </c>
      <c r="N11" t="s">
        <v>49</v>
      </c>
    </row>
    <row r="12" spans="2:17" ht="15.75">
      <c r="B12" s="2">
        <v>-27.29</v>
      </c>
      <c r="C12" s="3">
        <v>32764.424391360513</v>
      </c>
      <c r="D12" s="7">
        <v>-109.11891600040579</v>
      </c>
      <c r="E12" s="2">
        <v>-27.29</v>
      </c>
      <c r="F12" s="41" t="s">
        <v>10</v>
      </c>
      <c r="G12" s="43" t="s">
        <v>72</v>
      </c>
      <c r="I12"/>
      <c r="J12"/>
      <c r="K12"/>
      <c r="L12" t="s">
        <v>55</v>
      </c>
      <c r="M12" s="6">
        <v>0</v>
      </c>
      <c r="N12" t="s">
        <v>48</v>
      </c>
    </row>
    <row r="13" spans="2:17">
      <c r="B13" s="2">
        <v>-25.88</v>
      </c>
      <c r="C13" s="3">
        <v>32764.614839631871</v>
      </c>
      <c r="D13" s="7">
        <v>-103.30689599913345</v>
      </c>
      <c r="E13" s="2">
        <v>-25.88</v>
      </c>
      <c r="F13" s="41" t="s">
        <v>11</v>
      </c>
      <c r="G13" s="43" t="s">
        <v>73</v>
      </c>
    </row>
    <row r="14" spans="2:17">
      <c r="B14" s="2">
        <v>-24.47</v>
      </c>
      <c r="C14" s="3">
        <v>32764.800076218369</v>
      </c>
      <c r="D14" s="7">
        <v>-97.653923999074806</v>
      </c>
      <c r="E14" s="2">
        <v>-24.47</v>
      </c>
      <c r="F14" s="41" t="s">
        <v>12</v>
      </c>
      <c r="G14" s="43" t="s">
        <v>74</v>
      </c>
      <c r="I14" s="48" t="s">
        <v>117</v>
      </c>
      <c r="J14" s="48"/>
      <c r="K14" s="48"/>
      <c r="L14" s="48"/>
      <c r="M14" s="48"/>
      <c r="N14" s="48"/>
      <c r="O14" s="48"/>
      <c r="P14" s="48"/>
      <c r="Q14" s="48"/>
    </row>
    <row r="15" spans="2:17">
      <c r="B15" s="2">
        <v>-23.06</v>
      </c>
      <c r="C15" s="3">
        <v>32764.98010112</v>
      </c>
      <c r="D15" s="7">
        <v>-92.160000000007784</v>
      </c>
      <c r="E15" s="2">
        <v>-23.06</v>
      </c>
      <c r="F15" s="41" t="s">
        <v>13</v>
      </c>
      <c r="G15" s="43" t="s">
        <v>75</v>
      </c>
      <c r="I15" s="48"/>
      <c r="J15" s="48"/>
      <c r="K15" s="48"/>
      <c r="L15" s="48"/>
      <c r="M15" s="48"/>
      <c r="N15" s="48"/>
      <c r="O15" s="48"/>
      <c r="P15" s="48"/>
      <c r="Q15" s="48"/>
    </row>
    <row r="16" spans="2:17">
      <c r="B16" s="2">
        <v>-21.65</v>
      </c>
      <c r="C16" s="3">
        <v>32765.15491433677</v>
      </c>
      <c r="D16" s="7">
        <v>-86.825123999045843</v>
      </c>
      <c r="E16" s="2">
        <v>-21.65</v>
      </c>
      <c r="F16" s="41" t="s">
        <v>14</v>
      </c>
      <c r="G16" s="43" t="s">
        <v>76</v>
      </c>
      <c r="I16" s="48"/>
      <c r="J16" s="48"/>
      <c r="K16" s="48"/>
      <c r="L16" s="48"/>
      <c r="M16" s="48"/>
      <c r="N16" s="48"/>
      <c r="O16" s="48"/>
      <c r="P16" s="48"/>
      <c r="Q16" s="48"/>
    </row>
    <row r="17" spans="2:17">
      <c r="B17" s="2">
        <v>-20.239999999999998</v>
      </c>
      <c r="C17" s="3">
        <v>32765.324515868673</v>
      </c>
      <c r="D17" s="7">
        <v>-81.649295999186577</v>
      </c>
      <c r="E17" s="2">
        <v>-20.239999999999998</v>
      </c>
      <c r="F17" s="41" t="s">
        <v>15</v>
      </c>
      <c r="G17" s="43" t="s">
        <v>88</v>
      </c>
      <c r="I17" s="48"/>
      <c r="J17" s="48"/>
      <c r="K17" s="48"/>
      <c r="L17" s="48"/>
      <c r="M17" s="48"/>
      <c r="N17" s="48"/>
      <c r="O17" s="48"/>
      <c r="P17" s="48"/>
      <c r="Q17" s="48"/>
    </row>
    <row r="18" spans="2:17">
      <c r="B18" s="2">
        <v>-18.82</v>
      </c>
      <c r="C18" s="3">
        <v>32765.490052988931</v>
      </c>
      <c r="D18" s="7">
        <v>-76.597504000908145</v>
      </c>
      <c r="E18" s="2">
        <v>-18.82</v>
      </c>
      <c r="F18" s="41" t="s">
        <v>16</v>
      </c>
      <c r="G18" s="43" t="s">
        <v>89</v>
      </c>
      <c r="I18" s="48"/>
      <c r="J18" s="48"/>
      <c r="K18" s="48"/>
      <c r="L18" s="48"/>
      <c r="M18" s="48"/>
      <c r="N18" s="48"/>
      <c r="O18" s="48"/>
      <c r="P18" s="48"/>
      <c r="Q18" s="48"/>
    </row>
    <row r="19" spans="2:17">
      <c r="B19" s="2">
        <v>-17.41</v>
      </c>
      <c r="C19" s="3">
        <v>32765.649194188802</v>
      </c>
      <c r="D19" s="7">
        <v>-71.740899999950258</v>
      </c>
      <c r="E19" s="2">
        <v>-17.41</v>
      </c>
      <c r="F19" s="41" t="s">
        <v>17</v>
      </c>
      <c r="G19" s="43" t="s">
        <v>77</v>
      </c>
      <c r="I19" s="48"/>
      <c r="J19" s="48"/>
      <c r="K19" s="48"/>
      <c r="L19" s="48"/>
      <c r="M19" s="48"/>
      <c r="N19" s="48"/>
      <c r="O19" s="48"/>
      <c r="P19" s="48"/>
      <c r="Q19" s="48"/>
    </row>
    <row r="20" spans="2:17">
      <c r="B20" s="2">
        <v>-16</v>
      </c>
      <c r="C20" s="3">
        <v>32765.803123703809</v>
      </c>
      <c r="D20" s="7">
        <v>-67.043344000206062</v>
      </c>
      <c r="E20" s="2">
        <v>-16</v>
      </c>
      <c r="F20" s="41" t="s">
        <v>18</v>
      </c>
      <c r="G20" s="43" t="s">
        <v>90</v>
      </c>
    </row>
    <row r="21" spans="2:17">
      <c r="B21" s="2">
        <v>-14.59</v>
      </c>
      <c r="C21" s="3">
        <v>32765.951841533952</v>
      </c>
      <c r="D21" s="7">
        <v>-62.504835998566932</v>
      </c>
      <c r="E21" s="2">
        <v>-14.59</v>
      </c>
      <c r="F21" s="41" t="s">
        <v>19</v>
      </c>
      <c r="G21" s="43" t="s">
        <v>91</v>
      </c>
    </row>
    <row r="22" spans="2:17">
      <c r="B22" s="2">
        <v>-13.18</v>
      </c>
      <c r="C22" s="3">
        <v>32766.095347679235</v>
      </c>
      <c r="D22" s="7">
        <v>-58.125376001028073</v>
      </c>
      <c r="E22" s="2">
        <v>-13.18</v>
      </c>
      <c r="F22" s="41" t="s">
        <v>20</v>
      </c>
      <c r="G22" s="43" t="s">
        <v>78</v>
      </c>
    </row>
    <row r="23" spans="2:17">
      <c r="B23" s="2">
        <v>-11.76</v>
      </c>
      <c r="C23" s="3">
        <v>32766.234604339199</v>
      </c>
      <c r="D23" s="7">
        <v>-53.875600000030666</v>
      </c>
      <c r="E23" s="2">
        <v>-11.76</v>
      </c>
      <c r="F23" s="41" t="s">
        <v>21</v>
      </c>
      <c r="G23" s="43" t="s">
        <v>79</v>
      </c>
    </row>
    <row r="24" spans="2:17">
      <c r="B24" s="2">
        <v>-10.35</v>
      </c>
      <c r="C24" s="3">
        <v>32766.367650152446</v>
      </c>
      <c r="D24" s="7">
        <v>-49.815364001504214</v>
      </c>
      <c r="E24" s="2">
        <v>-10.35</v>
      </c>
      <c r="F24" s="41" t="s">
        <v>22</v>
      </c>
      <c r="G24" s="43" t="s">
        <v>92</v>
      </c>
    </row>
    <row r="25" spans="2:17">
      <c r="B25" s="2">
        <v>-8.94</v>
      </c>
      <c r="C25" s="3">
        <v>32766.495484280829</v>
      </c>
      <c r="D25" s="7">
        <v>-45.914176000971807</v>
      </c>
      <c r="E25" s="2">
        <v>-8.94</v>
      </c>
      <c r="F25" s="41" t="s">
        <v>23</v>
      </c>
      <c r="G25" s="43" t="s">
        <v>93</v>
      </c>
    </row>
    <row r="26" spans="2:17">
      <c r="B26" s="2">
        <v>-7.53</v>
      </c>
      <c r="C26" s="3">
        <v>32766.618106724352</v>
      </c>
      <c r="D26" s="7">
        <v>-42.172035998544466</v>
      </c>
      <c r="E26" s="2">
        <v>-7.53</v>
      </c>
      <c r="F26" s="41" t="s">
        <v>24</v>
      </c>
      <c r="G26" s="43" t="s">
        <v>80</v>
      </c>
    </row>
    <row r="27" spans="2:17">
      <c r="B27" s="2">
        <v>-6.12</v>
      </c>
      <c r="C27" s="3">
        <v>32766.735517483008</v>
      </c>
      <c r="D27" s="7">
        <v>-38.588944000217396</v>
      </c>
      <c r="E27" s="2">
        <v>-6.12</v>
      </c>
      <c r="F27" s="41" t="s">
        <v>25</v>
      </c>
      <c r="G27" s="43" t="s">
        <v>81</v>
      </c>
    </row>
    <row r="28" spans="2:17">
      <c r="B28" s="2">
        <v>-4.71</v>
      </c>
      <c r="C28" s="3">
        <v>32766.8477165568</v>
      </c>
      <c r="D28" s="7">
        <v>-35.164899999995392</v>
      </c>
      <c r="E28" s="2">
        <v>-4.71</v>
      </c>
      <c r="F28" s="41" t="s">
        <v>26</v>
      </c>
      <c r="G28" s="43" t="s">
        <v>94</v>
      </c>
    </row>
    <row r="29" spans="2:17">
      <c r="B29" s="2">
        <v>-3.29</v>
      </c>
      <c r="C29" s="3">
        <v>32766.95544410931</v>
      </c>
      <c r="D29" s="7">
        <v>-31.877316000405997</v>
      </c>
      <c r="E29" s="2">
        <v>-3.29</v>
      </c>
      <c r="F29" s="41" t="s">
        <v>27</v>
      </c>
      <c r="G29" s="43" t="s">
        <v>95</v>
      </c>
    </row>
    <row r="30" spans="2:17">
      <c r="B30" s="2">
        <v>-1.88</v>
      </c>
      <c r="C30" s="3">
        <v>32767.057182851069</v>
      </c>
      <c r="D30" s="7">
        <v>-28.772495999196401</v>
      </c>
      <c r="E30" s="2">
        <v>-1.88</v>
      </c>
      <c r="F30" s="41" t="s">
        <v>28</v>
      </c>
      <c r="G30" s="43" t="s">
        <v>96</v>
      </c>
    </row>
    <row r="31" spans="2:17">
      <c r="B31" s="2">
        <v>-0.47</v>
      </c>
      <c r="C31" s="3">
        <v>32767.153709907965</v>
      </c>
      <c r="D31" s="7">
        <v>-25.826723998978451</v>
      </c>
      <c r="E31" s="2">
        <v>-0.47</v>
      </c>
      <c r="F31" s="41" t="s">
        <v>29</v>
      </c>
      <c r="G31" s="43" t="s">
        <v>82</v>
      </c>
    </row>
    <row r="32" spans="2:17">
      <c r="B32" s="2">
        <v>0.94</v>
      </c>
      <c r="C32" s="3">
        <v>32767.245025279997</v>
      </c>
      <c r="D32" s="7">
        <v>-23.039999999974192</v>
      </c>
      <c r="E32" s="2">
        <v>0.94</v>
      </c>
      <c r="F32" s="41" t="s">
        <v>30</v>
      </c>
      <c r="G32" s="43" t="s">
        <v>83</v>
      </c>
    </row>
    <row r="33" spans="2:7">
      <c r="B33" s="2">
        <v>2.35</v>
      </c>
      <c r="C33" s="3">
        <v>32767.331128967166</v>
      </c>
      <c r="D33" s="7">
        <v>-20.412323999074999</v>
      </c>
      <c r="E33" s="2">
        <v>2.35</v>
      </c>
      <c r="F33" s="41" t="s">
        <v>31</v>
      </c>
      <c r="G33" s="43" t="s">
        <v>97</v>
      </c>
    </row>
    <row r="34" spans="2:7">
      <c r="B34" s="2">
        <v>3.76</v>
      </c>
      <c r="C34" s="3">
        <v>32767.41202096947</v>
      </c>
      <c r="D34" s="7">
        <v>-17.943695999167453</v>
      </c>
      <c r="E34" s="2">
        <v>3.76</v>
      </c>
      <c r="F34" s="41" t="s">
        <v>32</v>
      </c>
      <c r="G34" s="43" t="s">
        <v>98</v>
      </c>
    </row>
    <row r="35" spans="2:7" ht="13.5" customHeight="1">
      <c r="B35" s="2">
        <v>5.18</v>
      </c>
      <c r="C35" s="3">
        <v>32767.488219414528</v>
      </c>
      <c r="D35" s="7">
        <v>-15.61830400087505</v>
      </c>
      <c r="E35" s="2">
        <v>5.18</v>
      </c>
      <c r="F35" s="41" t="s">
        <v>33</v>
      </c>
      <c r="G35" s="43" t="s">
        <v>99</v>
      </c>
    </row>
    <row r="36" spans="2:7">
      <c r="B36" s="2">
        <v>6.59</v>
      </c>
      <c r="C36" s="3">
        <v>32767.558651084801</v>
      </c>
      <c r="D36" s="7">
        <v>-13.468899999979911</v>
      </c>
      <c r="E36" s="2">
        <v>6.59</v>
      </c>
      <c r="F36" s="41" t="s">
        <v>34</v>
      </c>
      <c r="G36" s="43" t="s">
        <v>100</v>
      </c>
    </row>
    <row r="37" spans="2:7">
      <c r="B37" s="2">
        <v>8</v>
      </c>
      <c r="C37" s="3">
        <v>32767.623871070209</v>
      </c>
      <c r="D37" s="7">
        <v>-11.478544000298463</v>
      </c>
      <c r="E37" s="2">
        <v>8</v>
      </c>
      <c r="F37" s="41" t="s">
        <v>35</v>
      </c>
      <c r="G37" s="43" t="s">
        <v>84</v>
      </c>
    </row>
    <row r="38" spans="2:7">
      <c r="B38" s="2">
        <v>9.41</v>
      </c>
      <c r="C38" s="3">
        <v>32767.68387937075</v>
      </c>
      <c r="D38" s="7">
        <v>-9.6472359985000367</v>
      </c>
      <c r="E38" s="2">
        <v>9.41</v>
      </c>
      <c r="F38" s="41" t="s">
        <v>36</v>
      </c>
      <c r="G38" s="43" t="s">
        <v>85</v>
      </c>
    </row>
    <row r="39" spans="2:7">
      <c r="B39" s="2">
        <v>10.82</v>
      </c>
      <c r="C39" s="3">
        <v>32767.738675986431</v>
      </c>
      <c r="D39" s="7">
        <v>-7.9749760010239257</v>
      </c>
      <c r="E39" s="2">
        <v>10.82</v>
      </c>
      <c r="F39" s="41" t="s">
        <v>37</v>
      </c>
      <c r="G39" s="43" t="s">
        <v>86</v>
      </c>
    </row>
    <row r="40" spans="2:7">
      <c r="B40" s="2">
        <v>12.24</v>
      </c>
      <c r="C40" s="3">
        <v>32767.7885939712</v>
      </c>
      <c r="D40" s="7">
        <v>-6.4516000000125473</v>
      </c>
      <c r="E40" s="2">
        <v>12.24</v>
      </c>
      <c r="F40" s="41" t="s">
        <v>38</v>
      </c>
      <c r="G40" s="43" t="s">
        <v>87</v>
      </c>
    </row>
    <row r="41" spans="2:7">
      <c r="B41" s="2">
        <v>13.65</v>
      </c>
      <c r="C41" s="3">
        <v>32767.832930254848</v>
      </c>
      <c r="D41" s="7">
        <v>-5.098564001437822</v>
      </c>
      <c r="E41" s="2">
        <v>13.65</v>
      </c>
      <c r="F41" s="41" t="s">
        <v>39</v>
      </c>
      <c r="G41" s="43" t="s">
        <v>101</v>
      </c>
    </row>
    <row r="42" spans="2:7">
      <c r="B42" s="2">
        <v>15.06</v>
      </c>
      <c r="C42" s="3">
        <v>32767.872054853633</v>
      </c>
      <c r="D42" s="7">
        <v>-3.9045760009681629</v>
      </c>
      <c r="E42" s="2">
        <v>15.06</v>
      </c>
      <c r="F42" s="41" t="s">
        <v>40</v>
      </c>
      <c r="G42" s="43" t="s">
        <v>102</v>
      </c>
    </row>
    <row r="43" spans="2:7">
      <c r="B43" s="2">
        <v>16.47</v>
      </c>
      <c r="C43" s="3">
        <v>32767.90596776755</v>
      </c>
      <c r="D43" s="7">
        <v>-2.8696359984925479</v>
      </c>
      <c r="E43" s="2">
        <v>16.47</v>
      </c>
      <c r="F43" s="41" t="s">
        <v>41</v>
      </c>
      <c r="G43" s="43" t="s">
        <v>103</v>
      </c>
    </row>
    <row r="44" spans="2:7">
      <c r="B44" s="2">
        <v>17.88</v>
      </c>
      <c r="C44" s="3">
        <v>32767.934668996608</v>
      </c>
      <c r="D44" s="7">
        <v>-1.9937440002282258</v>
      </c>
      <c r="E44" s="2">
        <v>17.88</v>
      </c>
      <c r="F44" s="41" t="s">
        <v>42</v>
      </c>
      <c r="G44" s="43" t="s">
        <v>104</v>
      </c>
    </row>
    <row r="45" spans="2:7">
      <c r="B45" s="2">
        <v>19.29</v>
      </c>
      <c r="C45" s="3">
        <v>32767.958158540798</v>
      </c>
      <c r="D45" s="7">
        <v>-1.2768999999579478</v>
      </c>
      <c r="E45" s="2">
        <v>19.29</v>
      </c>
      <c r="F45" s="41" t="s">
        <v>43</v>
      </c>
      <c r="G45" s="43" t="s">
        <v>105</v>
      </c>
    </row>
    <row r="46" spans="2:7">
      <c r="B46" s="2">
        <v>20.71</v>
      </c>
      <c r="C46" s="3">
        <v>32767.976547418115</v>
      </c>
      <c r="D46" s="7">
        <v>-0.7157160003545826</v>
      </c>
      <c r="E46" s="2">
        <v>20.71</v>
      </c>
      <c r="F46" s="41" t="s">
        <v>44</v>
      </c>
      <c r="G46" s="43" t="s">
        <v>105</v>
      </c>
    </row>
    <row r="47" spans="2:7">
      <c r="B47" s="2">
        <v>22.12</v>
      </c>
      <c r="C47" s="3">
        <v>32767.989576630272</v>
      </c>
      <c r="D47" s="7">
        <v>-0.31809599909671249</v>
      </c>
      <c r="E47" s="2">
        <v>22.12</v>
      </c>
      <c r="F47" s="41" t="s">
        <v>45</v>
      </c>
      <c r="G47" s="43" t="s">
        <v>106</v>
      </c>
    </row>
    <row r="48" spans="2:7">
      <c r="B48" s="2">
        <v>23.53</v>
      </c>
      <c r="C48" s="3">
        <v>32767.99739415757</v>
      </c>
      <c r="D48" s="7">
        <v>-7.9523999052533156E-2</v>
      </c>
      <c r="E48" s="2">
        <v>23.53</v>
      </c>
      <c r="F48" s="41" t="s">
        <v>46</v>
      </c>
      <c r="G48" s="43" t="s">
        <v>106</v>
      </c>
    </row>
    <row r="49" spans="2:7">
      <c r="B49" s="2">
        <v>24.94</v>
      </c>
      <c r="C49" s="3">
        <v>32768</v>
      </c>
      <c r="D49" s="7">
        <v>0</v>
      </c>
      <c r="E49" s="2">
        <v>24.94</v>
      </c>
      <c r="F49" s="41" t="s">
        <v>47</v>
      </c>
      <c r="G49" s="43" t="s">
        <v>106</v>
      </c>
    </row>
    <row r="50" spans="2:7">
      <c r="B50" s="40">
        <v>26.35</v>
      </c>
      <c r="C50" s="42">
        <v>32767.99739415757</v>
      </c>
      <c r="D50" s="7"/>
      <c r="E50" s="7"/>
      <c r="F50" s="7"/>
      <c r="G50" s="9"/>
    </row>
    <row r="51" spans="2:7">
      <c r="B51" s="40">
        <v>27.76</v>
      </c>
      <c r="C51" s="42">
        <v>32767.989576630272</v>
      </c>
      <c r="D51" s="7"/>
      <c r="E51" s="7"/>
      <c r="F51" s="7"/>
      <c r="G51" s="9"/>
    </row>
    <row r="52" spans="2:7">
      <c r="B52" s="40">
        <v>29.18</v>
      </c>
      <c r="C52" s="42">
        <v>32767.976436400128</v>
      </c>
      <c r="D52" s="7"/>
      <c r="E52" s="7"/>
      <c r="F52" s="7"/>
      <c r="G52" s="9"/>
    </row>
    <row r="53" spans="2:7">
      <c r="B53" s="40">
        <v>30.59</v>
      </c>
      <c r="C53" s="42">
        <v>32767.958158540798</v>
      </c>
      <c r="D53" s="7"/>
      <c r="E53" s="7"/>
      <c r="F53" s="7"/>
      <c r="G53" s="9"/>
    </row>
    <row r="54" spans="2:7">
      <c r="B54" s="40">
        <v>32</v>
      </c>
      <c r="C54" s="42">
        <v>32767.934668996608</v>
      </c>
      <c r="D54" s="7"/>
      <c r="E54" s="7"/>
      <c r="F54" s="7"/>
      <c r="G54" s="9"/>
    </row>
    <row r="55" spans="2:7">
      <c r="B55" s="40">
        <v>33.409999999999997</v>
      </c>
      <c r="C55" s="42">
        <v>32767.90596776755</v>
      </c>
      <c r="D55" s="7"/>
      <c r="E55" s="7"/>
      <c r="F55" s="7"/>
      <c r="G55" s="9"/>
    </row>
    <row r="56" spans="2:7">
      <c r="B56" s="40">
        <v>34.82</v>
      </c>
      <c r="C56" s="42">
        <v>32767.872054853633</v>
      </c>
      <c r="D56" s="7"/>
      <c r="E56" s="7"/>
      <c r="F56" s="7"/>
      <c r="G56" s="9"/>
    </row>
    <row r="57" spans="2:7">
      <c r="B57" s="40">
        <v>36.24</v>
      </c>
      <c r="C57" s="42">
        <v>32767.832634163202</v>
      </c>
      <c r="D57" s="7"/>
      <c r="E57" s="7"/>
      <c r="F57" s="7"/>
      <c r="G57" s="9"/>
    </row>
    <row r="58" spans="2:7">
      <c r="B58" s="40">
        <v>37.65</v>
      </c>
      <c r="C58" s="42">
        <v>32767.788260917248</v>
      </c>
      <c r="D58" s="7"/>
      <c r="E58" s="7"/>
      <c r="F58" s="7"/>
      <c r="G58" s="9"/>
    </row>
    <row r="59" spans="2:7">
      <c r="B59" s="40">
        <v>39.06</v>
      </c>
      <c r="C59" s="42">
        <v>32767.738675986431</v>
      </c>
      <c r="D59" s="7"/>
      <c r="E59" s="7"/>
      <c r="F59" s="7"/>
      <c r="G59" s="9"/>
    </row>
    <row r="60" spans="2:7">
      <c r="B60" s="40">
        <v>40.47</v>
      </c>
      <c r="C60" s="42">
        <v>32767.68387937075</v>
      </c>
      <c r="D60" s="7"/>
      <c r="E60" s="7"/>
      <c r="F60" s="7"/>
      <c r="G60" s="9"/>
    </row>
    <row r="61" spans="2:7">
      <c r="B61" s="40">
        <v>41.88</v>
      </c>
      <c r="C61" s="42">
        <v>32767.623871070209</v>
      </c>
      <c r="D61" s="7"/>
      <c r="E61" s="7"/>
      <c r="F61" s="7"/>
      <c r="G61" s="9"/>
    </row>
    <row r="62" spans="2:7">
      <c r="B62" s="40">
        <v>43.29</v>
      </c>
      <c r="C62" s="42">
        <v>32767.558651084801</v>
      </c>
      <c r="D62" s="7"/>
      <c r="E62" s="7"/>
      <c r="F62" s="7"/>
      <c r="G62" s="9"/>
    </row>
    <row r="63" spans="2:7">
      <c r="B63" s="40">
        <v>44.71</v>
      </c>
      <c r="C63" s="42">
        <v>32767.487701286911</v>
      </c>
      <c r="D63" s="7"/>
      <c r="E63" s="7"/>
      <c r="F63" s="7"/>
      <c r="G63" s="9"/>
    </row>
    <row r="64" spans="2:7">
      <c r="B64" s="40">
        <v>46.12</v>
      </c>
      <c r="C64" s="42">
        <v>32767.41202096947</v>
      </c>
      <c r="D64" s="7"/>
      <c r="E64" s="7"/>
      <c r="F64" s="7"/>
      <c r="G64" s="9"/>
    </row>
    <row r="65" spans="2:7">
      <c r="B65" s="40">
        <v>47.53</v>
      </c>
      <c r="C65" s="42">
        <v>32767.331128967166</v>
      </c>
      <c r="D65" s="7"/>
      <c r="E65" s="7"/>
      <c r="F65" s="7"/>
      <c r="G65" s="9"/>
    </row>
    <row r="66" spans="2:7">
      <c r="B66" s="40">
        <v>48.94</v>
      </c>
      <c r="C66" s="42">
        <v>32767.245025279997</v>
      </c>
      <c r="D66" s="7"/>
      <c r="E66" s="7"/>
      <c r="F66" s="7"/>
      <c r="G66" s="9"/>
    </row>
    <row r="67" spans="2:7">
      <c r="B67" s="40">
        <v>50.35</v>
      </c>
      <c r="C67" s="42">
        <v>32767.153709907965</v>
      </c>
      <c r="D67" s="7"/>
      <c r="E67" s="7"/>
      <c r="F67" s="7"/>
      <c r="G67" s="9"/>
    </row>
    <row r="68" spans="2:7">
      <c r="B68" s="40">
        <v>51.76</v>
      </c>
      <c r="C68" s="42">
        <v>32767.057182851069</v>
      </c>
      <c r="D68" s="7"/>
      <c r="E68" s="7"/>
      <c r="F68" s="7"/>
      <c r="G68" s="9"/>
    </row>
    <row r="69" spans="2:7">
      <c r="B69" s="40">
        <v>53.18</v>
      </c>
      <c r="C69" s="42">
        <v>32766.954703945728</v>
      </c>
      <c r="D69" s="7"/>
      <c r="E69" s="7"/>
      <c r="F69" s="7"/>
      <c r="G69" s="9"/>
    </row>
    <row r="70" spans="2:7">
      <c r="B70" s="40">
        <v>54.59</v>
      </c>
      <c r="C70" s="42">
        <v>32766.8477165568</v>
      </c>
      <c r="D70" s="7"/>
      <c r="E70" s="7"/>
      <c r="F70" s="7"/>
      <c r="G70" s="9"/>
    </row>
    <row r="71" spans="2:7">
      <c r="B71" s="40">
        <v>56</v>
      </c>
      <c r="C71" s="42">
        <v>32766.735517483008</v>
      </c>
      <c r="D71" s="7"/>
      <c r="E71" s="7"/>
      <c r="F71" s="7"/>
      <c r="G71" s="9"/>
    </row>
    <row r="72" spans="2:7">
      <c r="B72" s="40">
        <v>57.41</v>
      </c>
      <c r="C72" s="42">
        <v>32766.618106724352</v>
      </c>
      <c r="D72" s="7"/>
      <c r="E72" s="7"/>
      <c r="F72" s="7"/>
      <c r="G72" s="9"/>
    </row>
    <row r="73" spans="2:7">
      <c r="B73" s="40">
        <v>58.82</v>
      </c>
      <c r="C73" s="42">
        <v>32766.495484280829</v>
      </c>
      <c r="D73" s="7"/>
      <c r="E73" s="7"/>
      <c r="F73" s="7"/>
      <c r="G73" s="9"/>
    </row>
    <row r="74" spans="2:7">
      <c r="B74" s="40">
        <v>60.24</v>
      </c>
      <c r="C74" s="42">
        <v>32766.366724915199</v>
      </c>
      <c r="D74" s="7"/>
      <c r="E74" s="7"/>
      <c r="F74" s="7"/>
      <c r="G74" s="9"/>
    </row>
    <row r="75" spans="2:7">
      <c r="B75" s="40">
        <v>61.65</v>
      </c>
      <c r="C75" s="42">
        <v>32766.233642139647</v>
      </c>
      <c r="D75" s="7"/>
      <c r="E75" s="7"/>
      <c r="F75" s="7"/>
      <c r="G75" s="9"/>
    </row>
    <row r="76" spans="2:7">
      <c r="B76" s="40">
        <v>63.06</v>
      </c>
      <c r="C76" s="42">
        <v>32766.095347679235</v>
      </c>
      <c r="D76" s="7"/>
      <c r="E76" s="7"/>
      <c r="F76" s="7"/>
      <c r="G76" s="9"/>
    </row>
    <row r="77" spans="2:7">
      <c r="B77" s="40">
        <v>64.47</v>
      </c>
      <c r="C77" s="42">
        <v>32765.951841533952</v>
      </c>
      <c r="D77" s="7"/>
      <c r="E77" s="7"/>
      <c r="F77" s="7"/>
      <c r="G77" s="9"/>
    </row>
    <row r="78" spans="2:7">
      <c r="B78" s="40">
        <v>65.88</v>
      </c>
      <c r="C78" s="42">
        <v>32765.803123703809</v>
      </c>
      <c r="D78" s="7"/>
      <c r="E78" s="7"/>
      <c r="F78" s="7"/>
      <c r="G78" s="9"/>
    </row>
    <row r="79" spans="2:7">
      <c r="B79" s="40">
        <v>67.290000000000006</v>
      </c>
      <c r="C79" s="42">
        <v>32765.649194188802</v>
      </c>
      <c r="D79" s="7"/>
      <c r="E79" s="7"/>
      <c r="F79" s="7"/>
      <c r="G79" s="9"/>
    </row>
    <row r="80" spans="2:7">
      <c r="B80" s="40">
        <v>68.709999999999994</v>
      </c>
      <c r="C80" s="42">
        <v>32765.488905715712</v>
      </c>
      <c r="D80" s="7"/>
      <c r="E80" s="7"/>
      <c r="F80" s="7"/>
      <c r="G80" s="9"/>
    </row>
    <row r="81" spans="1:16">
      <c r="B81" s="40">
        <v>70.12</v>
      </c>
      <c r="C81" s="42">
        <v>32765.324515868673</v>
      </c>
      <c r="D81" s="7"/>
      <c r="E81" s="7"/>
      <c r="F81" s="7"/>
      <c r="G81" s="9"/>
    </row>
    <row r="82" spans="1:16">
      <c r="B82" s="40">
        <v>71.53</v>
      </c>
      <c r="C82" s="42">
        <v>32765.15491433677</v>
      </c>
      <c r="D82" s="7"/>
      <c r="E82" s="7"/>
      <c r="F82" s="7"/>
      <c r="G82" s="9"/>
    </row>
    <row r="83" spans="1:16">
      <c r="B83" s="40">
        <v>72.94</v>
      </c>
      <c r="C83" s="42">
        <v>32764.98010112</v>
      </c>
      <c r="D83" s="7"/>
      <c r="E83" s="7"/>
      <c r="F83" s="7"/>
      <c r="G83" s="9"/>
    </row>
    <row r="84" spans="1:16">
      <c r="B84" s="40">
        <v>74.349999999999994</v>
      </c>
      <c r="C84" s="42">
        <v>32764.800076218369</v>
      </c>
      <c r="D84" s="7"/>
      <c r="E84" s="7"/>
      <c r="F84" s="7"/>
      <c r="G84" s="9"/>
    </row>
    <row r="85" spans="1:16">
      <c r="B85" s="40">
        <v>75.760000000000005</v>
      </c>
      <c r="C85" s="42">
        <v>32764.614839631871</v>
      </c>
      <c r="D85" s="7"/>
      <c r="E85" s="7"/>
      <c r="F85" s="7"/>
      <c r="G85" s="9"/>
    </row>
    <row r="86" spans="1:16">
      <c r="B86" s="40">
        <v>77.180000000000007</v>
      </c>
      <c r="C86" s="42">
        <v>32764.423022051327</v>
      </c>
      <c r="D86" s="7"/>
      <c r="E86" s="7"/>
      <c r="F86" s="7"/>
      <c r="G86" s="9"/>
    </row>
    <row r="87" spans="1:16">
      <c r="B87" s="40">
        <v>78.59</v>
      </c>
      <c r="C87" s="42">
        <v>32764.227325132801</v>
      </c>
      <c r="D87" s="7"/>
      <c r="E87" s="7"/>
      <c r="F87" s="7"/>
      <c r="G87" s="9"/>
    </row>
    <row r="88" spans="1:16">
      <c r="B88" s="40">
        <v>80</v>
      </c>
      <c r="C88" s="42">
        <v>32764.026416529407</v>
      </c>
      <c r="D88" s="7"/>
      <c r="E88" s="7"/>
      <c r="F88" s="7"/>
      <c r="G88" s="9"/>
    </row>
    <row r="89" spans="1:16">
      <c r="B89" s="40">
        <v>81.41</v>
      </c>
      <c r="C89" s="42">
        <v>32763.820296241152</v>
      </c>
      <c r="D89" s="7"/>
      <c r="E89" s="7"/>
      <c r="F89" s="7"/>
      <c r="G89" s="9"/>
    </row>
    <row r="90" spans="1:16">
      <c r="B90" s="40">
        <v>82.82</v>
      </c>
      <c r="C90" s="42">
        <v>32763.608964268031</v>
      </c>
      <c r="D90" s="7"/>
      <c r="E90" s="7"/>
      <c r="F90" s="7"/>
      <c r="G90" s="9"/>
    </row>
    <row r="91" spans="1:16">
      <c r="B91" s="40">
        <v>84.24</v>
      </c>
      <c r="C91" s="42">
        <v>32763.390866227201</v>
      </c>
      <c r="D91" s="7"/>
      <c r="E91" s="7"/>
      <c r="F91" s="7"/>
      <c r="G91" s="9"/>
    </row>
    <row r="92" spans="1:16">
      <c r="B92" s="40">
        <v>85.65</v>
      </c>
      <c r="C92" s="42">
        <v>32763.169073922047</v>
      </c>
      <c r="D92" s="7"/>
      <c r="E92" s="7"/>
      <c r="F92" s="7"/>
      <c r="G92" s="9"/>
    </row>
    <row r="93" spans="1:16">
      <c r="B93" s="40">
        <v>87.06</v>
      </c>
      <c r="C93" s="42">
        <v>32762.942069932033</v>
      </c>
      <c r="D93" s="7"/>
      <c r="E93" s="7"/>
      <c r="F93" s="7"/>
      <c r="G93" s="9"/>
    </row>
    <row r="94" spans="1:16">
      <c r="B94" s="40">
        <v>88.47</v>
      </c>
      <c r="C94" s="42">
        <v>32762.709854257151</v>
      </c>
      <c r="D94" s="7"/>
      <c r="E94" s="7"/>
      <c r="F94" s="7"/>
      <c r="G94" s="9"/>
    </row>
    <row r="95" spans="1:16">
      <c r="B95" s="40">
        <v>89.88</v>
      </c>
      <c r="C95" s="42">
        <v>32762.472426897406</v>
      </c>
      <c r="D95" s="7"/>
      <c r="E95" s="7"/>
      <c r="F95" s="7"/>
      <c r="G95" s="9"/>
    </row>
    <row r="96" spans="1:16">
      <c r="A96" s="4"/>
      <c r="B96" s="5"/>
      <c r="C96" s="5"/>
      <c r="D96" s="7"/>
      <c r="E96" s="7"/>
      <c r="F96" s="7"/>
      <c r="G96" s="9"/>
      <c r="H96" s="7"/>
      <c r="I96" s="7"/>
      <c r="J96" s="7"/>
      <c r="K96" s="7"/>
      <c r="L96" s="4"/>
      <c r="M96" s="4"/>
      <c r="N96" s="4"/>
      <c r="O96" s="4"/>
      <c r="P96" s="4"/>
    </row>
    <row r="97" spans="1:16">
      <c r="A97" s="4"/>
      <c r="B97" s="5"/>
      <c r="C97" s="5"/>
      <c r="D97" s="7"/>
      <c r="E97" s="7"/>
      <c r="F97" s="7"/>
      <c r="G97" s="9"/>
      <c r="H97" s="7"/>
      <c r="I97" s="7"/>
      <c r="J97" s="7"/>
      <c r="K97" s="7"/>
      <c r="L97" s="4"/>
      <c r="M97" s="4"/>
      <c r="N97" s="4"/>
      <c r="O97" s="4"/>
      <c r="P97" s="4"/>
    </row>
    <row r="98" spans="1:16">
      <c r="A98" s="4"/>
      <c r="H98" s="7"/>
      <c r="I98" s="7"/>
      <c r="J98" s="7"/>
      <c r="K98" s="7"/>
      <c r="L98" s="4"/>
      <c r="M98" s="4"/>
      <c r="N98" s="4"/>
      <c r="O98" s="4"/>
      <c r="P98" s="4"/>
    </row>
    <row r="99" spans="1:16">
      <c r="A99" s="4"/>
      <c r="H99" s="7"/>
      <c r="I99" s="7"/>
      <c r="J99" s="7"/>
      <c r="K99" s="7"/>
      <c r="L99" s="4"/>
      <c r="M99" s="4"/>
      <c r="N99" s="4"/>
      <c r="O99" s="4"/>
      <c r="P99" s="4"/>
    </row>
    <row r="100" spans="1:16">
      <c r="A100" s="4"/>
      <c r="H100" s="7"/>
      <c r="I100" s="7"/>
      <c r="J100" s="7"/>
      <c r="K100" s="7"/>
      <c r="L100" s="4"/>
      <c r="M100" s="4"/>
      <c r="N100" s="4"/>
      <c r="O100" s="4"/>
      <c r="P100" s="4"/>
    </row>
    <row r="101" spans="1:16">
      <c r="A101" s="4"/>
      <c r="H101" s="7"/>
      <c r="I101" s="7"/>
      <c r="J101" s="7"/>
      <c r="K101" s="7"/>
      <c r="L101" s="4"/>
      <c r="M101" s="4"/>
      <c r="N101" s="4"/>
      <c r="O101" s="4"/>
      <c r="P101" s="4"/>
    </row>
    <row r="102" spans="1:16">
      <c r="A102" s="4"/>
      <c r="H102" s="7"/>
      <c r="I102" s="7"/>
      <c r="J102" s="7"/>
      <c r="K102" s="7"/>
      <c r="L102" s="4"/>
      <c r="M102" s="4"/>
      <c r="N102" s="4"/>
      <c r="O102" s="4"/>
      <c r="P102" s="4"/>
    </row>
    <row r="103" spans="1:16">
      <c r="A103" s="4"/>
      <c r="H103" s="7"/>
      <c r="I103" s="7"/>
      <c r="J103" s="7"/>
      <c r="K103" s="7"/>
      <c r="L103" s="4"/>
      <c r="M103" s="4"/>
      <c r="N103" s="4"/>
      <c r="O103" s="4"/>
      <c r="P103" s="4"/>
    </row>
    <row r="104" spans="1:16">
      <c r="A104" s="4"/>
      <c r="H104" s="7"/>
      <c r="I104" s="7"/>
      <c r="J104" s="7"/>
      <c r="K104" s="7"/>
      <c r="L104" s="4"/>
      <c r="M104" s="4"/>
      <c r="N104" s="4"/>
      <c r="O104" s="4"/>
      <c r="P104" s="4"/>
    </row>
    <row r="105" spans="1:16">
      <c r="A105" s="4"/>
      <c r="H105" s="7"/>
      <c r="I105" s="7"/>
      <c r="J105" s="7"/>
      <c r="K105" s="7"/>
      <c r="L105" s="4"/>
      <c r="M105" s="4"/>
      <c r="N105" s="4"/>
      <c r="O105" s="4"/>
      <c r="P105" s="4"/>
    </row>
    <row r="106" spans="1:16">
      <c r="A106" s="4"/>
      <c r="H106" s="7"/>
      <c r="I106" s="7"/>
      <c r="J106" s="7"/>
      <c r="K106" s="7"/>
      <c r="L106" s="4"/>
      <c r="M106" s="4"/>
      <c r="N106" s="4"/>
      <c r="O106" s="4"/>
      <c r="P106" s="4"/>
    </row>
    <row r="107" spans="1:16">
      <c r="A107" s="4"/>
      <c r="H107" s="7"/>
      <c r="I107" s="7"/>
      <c r="J107" s="7"/>
      <c r="K107" s="7"/>
      <c r="L107" s="4"/>
      <c r="M107" s="4"/>
      <c r="N107" s="4"/>
      <c r="O107" s="4"/>
      <c r="P107" s="4"/>
    </row>
    <row r="108" spans="1:16">
      <c r="A108" s="4"/>
      <c r="H108" s="7"/>
      <c r="I108" s="7"/>
      <c r="J108" s="7"/>
      <c r="K108" s="7"/>
      <c r="L108" s="4"/>
      <c r="M108" s="4"/>
      <c r="N108" s="4"/>
      <c r="O108" s="4"/>
      <c r="P108" s="4"/>
    </row>
    <row r="109" spans="1:16">
      <c r="A109" s="4"/>
      <c r="H109" s="7"/>
      <c r="I109" s="7"/>
      <c r="J109" s="7"/>
      <c r="K109" s="7"/>
      <c r="L109" s="4"/>
      <c r="M109" s="4"/>
      <c r="N109" s="4"/>
      <c r="O109" s="4"/>
      <c r="P109" s="4"/>
    </row>
    <row r="110" spans="1:16">
      <c r="A110" s="4"/>
      <c r="H110" s="7"/>
      <c r="I110" s="7"/>
      <c r="J110" s="7"/>
      <c r="K110" s="7"/>
      <c r="L110" s="4"/>
      <c r="M110" s="4"/>
      <c r="N110" s="4"/>
      <c r="O110" s="4"/>
      <c r="P110" s="4"/>
    </row>
    <row r="111" spans="1:16">
      <c r="A111" s="4"/>
      <c r="H111" s="7"/>
      <c r="I111" s="7"/>
      <c r="J111" s="7"/>
      <c r="K111" s="7"/>
      <c r="L111" s="4"/>
      <c r="M111" s="4"/>
      <c r="N111" s="4"/>
      <c r="O111" s="4"/>
      <c r="P111" s="4"/>
    </row>
    <row r="112" spans="1:16">
      <c r="A112" s="4"/>
      <c r="H112" s="7"/>
      <c r="I112" s="7"/>
      <c r="J112" s="7"/>
      <c r="K112" s="7"/>
      <c r="L112" s="4"/>
      <c r="M112" s="4"/>
      <c r="N112" s="4"/>
      <c r="O112" s="4"/>
      <c r="P112" s="4"/>
    </row>
    <row r="113" spans="1:16">
      <c r="A113" s="4"/>
      <c r="H113" s="7"/>
      <c r="I113" s="7"/>
      <c r="J113" s="7"/>
      <c r="K113" s="7"/>
      <c r="L113" s="4"/>
      <c r="M113" s="4"/>
      <c r="N113" s="4"/>
      <c r="O113" s="4"/>
      <c r="P113" s="4"/>
    </row>
    <row r="114" spans="1:16">
      <c r="A114" s="4"/>
      <c r="H114" s="7"/>
      <c r="I114" s="7"/>
      <c r="J114" s="7"/>
      <c r="K114" s="7"/>
      <c r="L114" s="4"/>
      <c r="M114" s="4"/>
      <c r="N114" s="4"/>
      <c r="O114" s="4"/>
      <c r="P114" s="4"/>
    </row>
    <row r="115" spans="1:16">
      <c r="A115" s="4"/>
      <c r="H115" s="7"/>
      <c r="I115" s="7"/>
      <c r="J115" s="7"/>
      <c r="K115" s="7"/>
      <c r="L115" s="4"/>
      <c r="M115" s="4"/>
      <c r="N115" s="4"/>
      <c r="O115" s="4"/>
      <c r="P115" s="4"/>
    </row>
    <row r="116" spans="1:16">
      <c r="A116" s="4"/>
      <c r="H116" s="7"/>
      <c r="I116" s="7"/>
      <c r="J116" s="7"/>
      <c r="K116" s="7"/>
      <c r="L116" s="4"/>
      <c r="M116" s="4"/>
      <c r="N116" s="4"/>
      <c r="O116" s="4"/>
      <c r="P116" s="4"/>
    </row>
    <row r="117" spans="1:16">
      <c r="A117" s="4"/>
      <c r="H117" s="7"/>
      <c r="I117" s="7"/>
      <c r="J117" s="7"/>
      <c r="K117" s="7"/>
      <c r="L117" s="4"/>
      <c r="M117" s="4"/>
      <c r="N117" s="4"/>
      <c r="O117" s="4"/>
      <c r="P117" s="4"/>
    </row>
    <row r="118" spans="1:16">
      <c r="A118" s="4"/>
      <c r="H118" s="7"/>
      <c r="I118" s="7"/>
      <c r="J118" s="7"/>
      <c r="K118" s="7"/>
      <c r="L118" s="4"/>
      <c r="M118" s="4"/>
      <c r="N118" s="4"/>
      <c r="O118" s="4"/>
      <c r="P118" s="4"/>
    </row>
    <row r="119" spans="1:16">
      <c r="A119" s="4"/>
      <c r="H119" s="7"/>
      <c r="I119" s="7"/>
      <c r="J119" s="7"/>
      <c r="K119" s="7"/>
      <c r="L119" s="4"/>
      <c r="M119" s="4"/>
      <c r="N119" s="4"/>
      <c r="O119" s="4"/>
      <c r="P119" s="4"/>
    </row>
    <row r="120" spans="1:16">
      <c r="A120" s="4"/>
      <c r="H120" s="7"/>
      <c r="I120" s="7"/>
      <c r="J120" s="7"/>
      <c r="K120" s="7"/>
      <c r="L120" s="4"/>
      <c r="M120" s="4"/>
      <c r="N120" s="4"/>
      <c r="O120" s="4"/>
      <c r="P120" s="4"/>
    </row>
    <row r="121" spans="1:16">
      <c r="A121" s="4"/>
      <c r="H121" s="7"/>
      <c r="I121" s="7"/>
      <c r="J121" s="7"/>
      <c r="K121" s="7"/>
      <c r="L121" s="4"/>
      <c r="M121" s="4"/>
      <c r="N121" s="4"/>
      <c r="O121" s="4"/>
      <c r="P121" s="4"/>
    </row>
    <row r="122" spans="1:16">
      <c r="A122" s="4"/>
      <c r="H122" s="7"/>
      <c r="I122" s="7"/>
      <c r="J122" s="7"/>
      <c r="K122" s="7"/>
      <c r="L122" s="4"/>
      <c r="M122" s="4"/>
      <c r="N122" s="4"/>
      <c r="O122" s="4"/>
      <c r="P122" s="4"/>
    </row>
    <row r="123" spans="1:16">
      <c r="A123" s="4"/>
      <c r="H123" s="7"/>
      <c r="I123" s="7"/>
      <c r="J123" s="7"/>
      <c r="K123" s="7"/>
      <c r="L123" s="4"/>
      <c r="M123" s="4"/>
      <c r="N123" s="4"/>
      <c r="O123" s="4"/>
      <c r="P123" s="4"/>
    </row>
    <row r="124" spans="1:16">
      <c r="A124" s="4"/>
      <c r="H124" s="7"/>
      <c r="I124" s="7"/>
      <c r="J124" s="7"/>
      <c r="K124" s="7"/>
      <c r="L124" s="4"/>
      <c r="M124" s="4"/>
      <c r="N124" s="4"/>
      <c r="O124" s="4"/>
      <c r="P124" s="4"/>
    </row>
    <row r="125" spans="1:16">
      <c r="A125" s="4"/>
      <c r="H125" s="7"/>
      <c r="I125" s="7"/>
      <c r="J125" s="7"/>
      <c r="K125" s="7"/>
      <c r="L125" s="4"/>
      <c r="M125" s="4"/>
      <c r="N125" s="4"/>
      <c r="O125" s="4"/>
      <c r="P125" s="4"/>
    </row>
    <row r="126" spans="1:16">
      <c r="A126" s="4"/>
      <c r="H126" s="7"/>
      <c r="I126" s="7"/>
      <c r="J126" s="7"/>
      <c r="K126" s="7"/>
      <c r="L126" s="4"/>
      <c r="M126" s="4"/>
      <c r="N126" s="4"/>
      <c r="O126" s="4"/>
      <c r="P126" s="4"/>
    </row>
    <row r="127" spans="1:16">
      <c r="A127" s="4"/>
      <c r="H127" s="7"/>
      <c r="I127" s="7"/>
      <c r="J127" s="7"/>
      <c r="K127" s="7"/>
      <c r="L127" s="4"/>
      <c r="M127" s="4"/>
      <c r="N127" s="4"/>
      <c r="O127" s="4"/>
      <c r="P127" s="4"/>
    </row>
    <row r="128" spans="1:16">
      <c r="A128" s="4"/>
      <c r="H128" s="7"/>
      <c r="I128" s="7"/>
      <c r="J128" s="7"/>
      <c r="K128" s="7"/>
      <c r="L128" s="4"/>
      <c r="M128" s="4"/>
      <c r="N128" s="4"/>
      <c r="O128" s="4"/>
      <c r="P128" s="4"/>
    </row>
    <row r="129" spans="1:16">
      <c r="A129" s="4"/>
      <c r="H129" s="7"/>
      <c r="I129" s="7"/>
      <c r="J129" s="7"/>
      <c r="K129" s="7"/>
      <c r="L129" s="4"/>
      <c r="M129" s="4"/>
      <c r="N129" s="4"/>
      <c r="O129" s="4"/>
      <c r="P129" s="4"/>
    </row>
    <row r="130" spans="1:16">
      <c r="A130" s="4"/>
      <c r="H130" s="7"/>
      <c r="I130" s="7"/>
      <c r="J130" s="7"/>
      <c r="K130" s="7"/>
      <c r="L130" s="4"/>
      <c r="M130" s="4"/>
      <c r="N130" s="4"/>
      <c r="O130" s="4"/>
      <c r="P130" s="4"/>
    </row>
    <row r="131" spans="1:16">
      <c r="A131" s="4"/>
      <c r="H131" s="7"/>
      <c r="I131" s="7"/>
      <c r="J131" s="7"/>
      <c r="K131" s="7"/>
      <c r="L131" s="4"/>
      <c r="M131" s="4"/>
      <c r="N131" s="4"/>
      <c r="O131" s="4"/>
      <c r="P131" s="4"/>
    </row>
    <row r="132" spans="1:16">
      <c r="A132" s="4"/>
      <c r="H132" s="7"/>
      <c r="I132" s="7"/>
      <c r="J132" s="7"/>
      <c r="K132" s="7"/>
      <c r="L132" s="4"/>
      <c r="M132" s="4"/>
      <c r="N132" s="4"/>
      <c r="O132" s="4"/>
      <c r="P132" s="4"/>
    </row>
    <row r="133" spans="1:16">
      <c r="A133" s="4"/>
      <c r="H133" s="7"/>
      <c r="I133" s="7"/>
      <c r="J133" s="7"/>
      <c r="K133" s="7"/>
      <c r="L133" s="4"/>
      <c r="M133" s="4"/>
      <c r="N133" s="4"/>
      <c r="O133" s="4"/>
      <c r="P133" s="4"/>
    </row>
    <row r="134" spans="1:16">
      <c r="A134" s="4"/>
      <c r="H134" s="7"/>
      <c r="I134" s="7"/>
      <c r="J134" s="7"/>
      <c r="K134" s="7"/>
      <c r="L134" s="4"/>
      <c r="M134" s="4"/>
      <c r="N134" s="4"/>
      <c r="O134" s="4"/>
      <c r="P134" s="4"/>
    </row>
    <row r="135" spans="1:16">
      <c r="A135" s="4"/>
      <c r="H135" s="7"/>
      <c r="I135" s="7"/>
      <c r="J135" s="7"/>
      <c r="K135" s="7"/>
      <c r="L135" s="4"/>
      <c r="M135" s="4"/>
      <c r="N135" s="4"/>
      <c r="O135" s="4"/>
      <c r="P135" s="4"/>
    </row>
    <row r="136" spans="1:16">
      <c r="A136" s="4"/>
      <c r="H136" s="7"/>
      <c r="I136" s="7"/>
      <c r="J136" s="7"/>
      <c r="K136" s="7"/>
      <c r="L136" s="4"/>
      <c r="M136" s="4"/>
      <c r="N136" s="4"/>
      <c r="O136" s="4"/>
      <c r="P136" s="4"/>
    </row>
    <row r="137" spans="1:16">
      <c r="A137" s="4"/>
      <c r="H137" s="7"/>
      <c r="I137" s="7"/>
      <c r="J137" s="7"/>
      <c r="K137" s="7"/>
      <c r="L137" s="4"/>
      <c r="M137" s="4"/>
      <c r="N137" s="4"/>
      <c r="O137" s="4"/>
      <c r="P137" s="4"/>
    </row>
    <row r="138" spans="1:16">
      <c r="A138" s="4"/>
      <c r="H138" s="7"/>
      <c r="I138" s="7"/>
      <c r="J138" s="7"/>
      <c r="K138" s="7"/>
      <c r="L138" s="4"/>
      <c r="M138" s="4"/>
      <c r="N138" s="4"/>
      <c r="O138" s="4"/>
      <c r="P138" s="4"/>
    </row>
    <row r="139" spans="1:16">
      <c r="A139" s="4"/>
      <c r="H139" s="7"/>
      <c r="I139" s="7"/>
      <c r="J139" s="7"/>
      <c r="K139" s="7"/>
      <c r="L139" s="4"/>
      <c r="M139" s="4"/>
      <c r="N139" s="4"/>
      <c r="O139" s="4"/>
      <c r="P139" s="4"/>
    </row>
    <row r="140" spans="1:16">
      <c r="A140" s="4"/>
      <c r="H140" s="7"/>
      <c r="I140" s="7"/>
      <c r="J140" s="7"/>
      <c r="K140" s="7"/>
      <c r="L140" s="4"/>
      <c r="M140" s="4"/>
      <c r="N140" s="4"/>
      <c r="O140" s="4"/>
      <c r="P140" s="4"/>
    </row>
    <row r="141" spans="1:16">
      <c r="A141" s="4"/>
      <c r="H141" s="7"/>
      <c r="I141" s="7"/>
      <c r="J141" s="7"/>
      <c r="K141" s="7"/>
      <c r="L141" s="4"/>
      <c r="M141" s="4"/>
      <c r="N141" s="4"/>
      <c r="O141" s="4"/>
      <c r="P141" s="4"/>
    </row>
    <row r="142" spans="1:16">
      <c r="A142" s="4"/>
      <c r="H142" s="7"/>
      <c r="I142" s="7"/>
      <c r="J142" s="7"/>
      <c r="K142" s="7"/>
      <c r="L142" s="4"/>
      <c r="M142" s="4"/>
      <c r="N142" s="4"/>
      <c r="O142" s="4"/>
      <c r="P142" s="4"/>
    </row>
    <row r="143" spans="1:16">
      <c r="A143" s="4"/>
      <c r="H143" s="7"/>
      <c r="I143" s="7"/>
      <c r="J143" s="7"/>
      <c r="K143" s="7"/>
      <c r="L143" s="4"/>
      <c r="M143" s="4"/>
      <c r="N143" s="4"/>
      <c r="O143" s="4"/>
      <c r="P143" s="4"/>
    </row>
    <row r="144" spans="1:16">
      <c r="A144" s="4"/>
      <c r="H144" s="7"/>
      <c r="I144" s="7"/>
      <c r="J144" s="7"/>
      <c r="K144" s="7"/>
      <c r="L144" s="4"/>
      <c r="M144" s="4"/>
      <c r="N144" s="4"/>
      <c r="O144" s="4"/>
      <c r="P144" s="4"/>
    </row>
    <row r="145" spans="1:16">
      <c r="A145" s="4"/>
      <c r="H145" s="7"/>
      <c r="I145" s="7"/>
      <c r="J145" s="7"/>
      <c r="K145" s="7"/>
      <c r="L145" s="4"/>
      <c r="M145" s="4"/>
      <c r="N145" s="4"/>
      <c r="O145" s="4"/>
      <c r="P145" s="4"/>
    </row>
    <row r="146" spans="1:16">
      <c r="A146" s="4"/>
      <c r="H146" s="7"/>
      <c r="I146" s="7"/>
      <c r="J146" s="7"/>
      <c r="K146" s="7"/>
      <c r="L146" s="4"/>
      <c r="M146" s="4"/>
      <c r="N146" s="4"/>
      <c r="O146" s="4"/>
      <c r="P146" s="4"/>
    </row>
    <row r="147" spans="1:16">
      <c r="A147" s="4"/>
      <c r="H147" s="7"/>
      <c r="I147" s="7"/>
      <c r="J147" s="7"/>
      <c r="K147" s="7"/>
      <c r="L147" s="4"/>
      <c r="M147" s="4"/>
      <c r="N147" s="4"/>
      <c r="O147" s="4"/>
      <c r="P147" s="4"/>
    </row>
    <row r="148" spans="1:16">
      <c r="A148" s="4"/>
      <c r="H148" s="7"/>
      <c r="I148" s="7"/>
      <c r="J148" s="7"/>
      <c r="K148" s="7"/>
      <c r="L148" s="4"/>
      <c r="M148" s="4"/>
      <c r="N148" s="4"/>
      <c r="O148" s="4"/>
      <c r="P148" s="4"/>
    </row>
    <row r="149" spans="1:16">
      <c r="A149" s="4"/>
      <c r="H149" s="7"/>
      <c r="I149" s="7"/>
      <c r="J149" s="7"/>
      <c r="K149" s="7"/>
      <c r="L149" s="4"/>
      <c r="M149" s="4"/>
      <c r="N149" s="4"/>
      <c r="O149" s="4"/>
      <c r="P149" s="4"/>
    </row>
    <row r="150" spans="1:16">
      <c r="A150" s="4"/>
      <c r="H150" s="7"/>
      <c r="I150" s="7"/>
      <c r="J150" s="7"/>
      <c r="K150" s="7"/>
      <c r="L150" s="4"/>
      <c r="M150" s="4"/>
      <c r="N150" s="4"/>
      <c r="O150" s="4"/>
      <c r="P150" s="4"/>
    </row>
    <row r="151" spans="1:16">
      <c r="A151" s="4"/>
      <c r="H151" s="7"/>
      <c r="I151" s="7"/>
      <c r="J151" s="7"/>
      <c r="K151" s="7"/>
      <c r="L151" s="4"/>
      <c r="M151" s="4"/>
      <c r="N151" s="4"/>
      <c r="O151" s="4"/>
      <c r="P151" s="4"/>
    </row>
    <row r="152" spans="1:16">
      <c r="A152" s="4"/>
      <c r="H152" s="7"/>
      <c r="I152" s="7"/>
      <c r="J152" s="7"/>
      <c r="K152" s="7"/>
      <c r="L152" s="4"/>
      <c r="M152" s="4"/>
      <c r="N152" s="4"/>
      <c r="O152" s="4"/>
      <c r="P152" s="4"/>
    </row>
    <row r="153" spans="1:16">
      <c r="A153" s="4"/>
      <c r="H153" s="7"/>
      <c r="I153" s="7"/>
      <c r="J153" s="7"/>
      <c r="K153" s="7"/>
      <c r="L153" s="4"/>
      <c r="M153" s="4"/>
      <c r="N153" s="4"/>
      <c r="O153" s="4"/>
      <c r="P153" s="4"/>
    </row>
    <row r="154" spans="1:16">
      <c r="A154" s="4"/>
      <c r="H154" s="7"/>
      <c r="I154" s="7"/>
      <c r="J154" s="7"/>
      <c r="K154" s="7"/>
      <c r="L154" s="4"/>
      <c r="M154" s="4"/>
      <c r="N154" s="4"/>
      <c r="O154" s="4"/>
      <c r="P154" s="4"/>
    </row>
    <row r="155" spans="1:16">
      <c r="A155" s="4"/>
      <c r="H155" s="7"/>
      <c r="I155" s="7"/>
      <c r="J155" s="7"/>
      <c r="K155" s="7"/>
      <c r="L155" s="4"/>
      <c r="M155" s="4"/>
      <c r="N155" s="4"/>
      <c r="O155" s="4"/>
      <c r="P155" s="4"/>
    </row>
    <row r="156" spans="1:16">
      <c r="A156" s="4"/>
      <c r="H156" s="7"/>
      <c r="I156" s="7"/>
      <c r="J156" s="7"/>
      <c r="K156" s="7"/>
      <c r="L156" s="4"/>
      <c r="M156" s="4"/>
      <c r="N156" s="4"/>
      <c r="O156" s="4"/>
      <c r="P156" s="4"/>
    </row>
    <row r="157" spans="1:16">
      <c r="A157" s="4"/>
      <c r="H157" s="7"/>
      <c r="I157" s="7"/>
      <c r="J157" s="7"/>
      <c r="K157" s="7"/>
      <c r="L157" s="4"/>
      <c r="M157" s="4"/>
      <c r="N157" s="4"/>
      <c r="O157" s="4"/>
      <c r="P157" s="4"/>
    </row>
    <row r="158" spans="1:16">
      <c r="A158" s="4"/>
      <c r="H158" s="7"/>
      <c r="I158" s="7"/>
      <c r="J158" s="7"/>
      <c r="K158" s="7"/>
      <c r="L158" s="4"/>
      <c r="M158" s="4"/>
      <c r="N158" s="4"/>
      <c r="O158" s="4"/>
      <c r="P158" s="4"/>
    </row>
    <row r="159" spans="1:16">
      <c r="A159" s="4"/>
      <c r="H159" s="7"/>
      <c r="I159" s="7"/>
      <c r="J159" s="7"/>
      <c r="K159" s="7"/>
      <c r="L159" s="4"/>
      <c r="M159" s="4"/>
      <c r="N159" s="4"/>
      <c r="O159" s="4"/>
      <c r="P159" s="4"/>
    </row>
    <row r="160" spans="1:16">
      <c r="A160" s="4"/>
      <c r="H160" s="7"/>
      <c r="I160" s="7"/>
      <c r="J160" s="7"/>
      <c r="K160" s="7"/>
      <c r="L160" s="4"/>
      <c r="M160" s="4"/>
      <c r="N160" s="4"/>
      <c r="O160" s="4"/>
      <c r="P160" s="4"/>
    </row>
    <row r="161" spans="1:16">
      <c r="A161" s="4"/>
      <c r="H161" s="7"/>
      <c r="I161" s="7"/>
      <c r="J161" s="7"/>
      <c r="K161" s="7"/>
      <c r="L161" s="4"/>
      <c r="M161" s="4"/>
      <c r="N161" s="4"/>
      <c r="O161" s="4"/>
      <c r="P161" s="4"/>
    </row>
    <row r="162" spans="1:16">
      <c r="A162" s="4"/>
      <c r="H162" s="7"/>
      <c r="I162" s="7"/>
      <c r="J162" s="7"/>
      <c r="K162" s="7"/>
      <c r="L162" s="4"/>
      <c r="M162" s="4"/>
      <c r="N162" s="4"/>
      <c r="O162" s="4"/>
      <c r="P162" s="4"/>
    </row>
    <row r="163" spans="1:16">
      <c r="A163" s="4"/>
      <c r="H163" s="7"/>
      <c r="I163" s="7"/>
      <c r="J163" s="7"/>
      <c r="K163" s="7"/>
      <c r="L163" s="4"/>
      <c r="M163" s="4"/>
      <c r="N163" s="4"/>
      <c r="O163" s="4"/>
      <c r="P163" s="4"/>
    </row>
    <row r="164" spans="1:16">
      <c r="A164" s="4"/>
      <c r="H164" s="7"/>
      <c r="I164" s="7"/>
      <c r="J164" s="7"/>
      <c r="K164" s="7"/>
      <c r="L164" s="4"/>
      <c r="M164" s="4"/>
      <c r="N164" s="4"/>
      <c r="O164" s="4"/>
      <c r="P164" s="4"/>
    </row>
    <row r="165" spans="1:16">
      <c r="A165" s="4"/>
      <c r="H165" s="7"/>
      <c r="I165" s="7"/>
      <c r="J165" s="7"/>
      <c r="K165" s="7"/>
      <c r="L165" s="4"/>
      <c r="M165" s="4"/>
      <c r="N165" s="4"/>
      <c r="O165" s="4"/>
      <c r="P165" s="4"/>
    </row>
    <row r="166" spans="1:16">
      <c r="A166" s="4"/>
      <c r="H166" s="7"/>
      <c r="I166" s="7"/>
      <c r="J166" s="7"/>
      <c r="K166" s="7"/>
      <c r="L166" s="4"/>
      <c r="M166" s="4"/>
      <c r="N166" s="4"/>
      <c r="O166" s="4"/>
      <c r="P166" s="4"/>
    </row>
    <row r="167" spans="1:16">
      <c r="A167" s="4"/>
      <c r="H167" s="7"/>
      <c r="I167" s="7"/>
      <c r="J167" s="7"/>
      <c r="K167" s="7"/>
      <c r="L167" s="4"/>
      <c r="M167" s="4"/>
      <c r="N167" s="4"/>
      <c r="O167" s="4"/>
      <c r="P167" s="4"/>
    </row>
    <row r="168" spans="1:16">
      <c r="A168" s="4"/>
      <c r="H168" s="7"/>
      <c r="I168" s="7"/>
      <c r="J168" s="7"/>
      <c r="K168" s="7"/>
      <c r="L168" s="4"/>
      <c r="M168" s="4"/>
      <c r="N168" s="4"/>
      <c r="O168" s="4"/>
      <c r="P168" s="4"/>
    </row>
    <row r="169" spans="1:16">
      <c r="A169" s="4"/>
      <c r="H169" s="7"/>
      <c r="I169" s="7"/>
      <c r="J169" s="7"/>
      <c r="K169" s="7"/>
      <c r="L169" s="4"/>
      <c r="M169" s="4"/>
      <c r="N169" s="4"/>
      <c r="O169" s="4"/>
      <c r="P169" s="4"/>
    </row>
    <row r="170" spans="1:16">
      <c r="A170" s="4"/>
      <c r="H170" s="7"/>
      <c r="I170" s="7"/>
      <c r="J170" s="7"/>
      <c r="K170" s="7"/>
      <c r="L170" s="4"/>
      <c r="M170" s="4"/>
      <c r="N170" s="4"/>
      <c r="O170" s="4"/>
      <c r="P170" s="4"/>
    </row>
    <row r="171" spans="1:16">
      <c r="A171" s="4"/>
      <c r="H171" s="7"/>
      <c r="I171" s="7"/>
      <c r="J171" s="7"/>
      <c r="K171" s="7"/>
      <c r="L171" s="4"/>
      <c r="M171" s="4"/>
      <c r="N171" s="4"/>
      <c r="O171" s="4"/>
      <c r="P171" s="4"/>
    </row>
    <row r="172" spans="1:16">
      <c r="A172" s="4"/>
      <c r="H172" s="7"/>
      <c r="I172" s="7"/>
      <c r="J172" s="7"/>
      <c r="K172" s="7"/>
      <c r="L172" s="4"/>
      <c r="M172" s="4"/>
      <c r="N172" s="4"/>
      <c r="O172" s="4"/>
      <c r="P172" s="4"/>
    </row>
    <row r="173" spans="1:16">
      <c r="A173" s="4"/>
      <c r="H173" s="7"/>
      <c r="I173" s="7"/>
      <c r="J173" s="7"/>
      <c r="K173" s="7"/>
      <c r="L173" s="4"/>
      <c r="M173" s="4"/>
      <c r="N173" s="4"/>
      <c r="O173" s="4"/>
      <c r="P173" s="4"/>
    </row>
    <row r="174" spans="1:16">
      <c r="A174" s="4"/>
      <c r="H174" s="7"/>
      <c r="I174" s="7"/>
      <c r="J174" s="7"/>
      <c r="K174" s="7"/>
      <c r="L174" s="4"/>
      <c r="M174" s="4"/>
      <c r="N174" s="4"/>
      <c r="O174" s="4"/>
      <c r="P174" s="4"/>
    </row>
    <row r="175" spans="1:16">
      <c r="A175" s="4"/>
      <c r="H175" s="7"/>
      <c r="I175" s="7"/>
      <c r="J175" s="7"/>
      <c r="K175" s="7"/>
      <c r="L175" s="4"/>
      <c r="M175" s="4"/>
      <c r="N175" s="4"/>
      <c r="O175" s="4"/>
      <c r="P175" s="4"/>
    </row>
    <row r="176" spans="1:16">
      <c r="A176" s="4"/>
      <c r="H176" s="7"/>
      <c r="I176" s="7"/>
      <c r="J176" s="7"/>
      <c r="K176" s="7"/>
      <c r="L176" s="4"/>
      <c r="M176" s="4"/>
      <c r="N176" s="4"/>
      <c r="O176" s="4"/>
      <c r="P176" s="4"/>
    </row>
    <row r="177" spans="1:16">
      <c r="A177" s="4"/>
      <c r="H177" s="7"/>
      <c r="I177" s="7"/>
      <c r="J177" s="7"/>
      <c r="K177" s="7"/>
      <c r="L177" s="4"/>
      <c r="M177" s="4"/>
      <c r="N177" s="4"/>
      <c r="O177" s="4"/>
      <c r="P177" s="4"/>
    </row>
    <row r="178" spans="1:16">
      <c r="A178" s="4"/>
      <c r="H178" s="7"/>
      <c r="I178" s="7"/>
      <c r="J178" s="7"/>
      <c r="K178" s="7"/>
      <c r="L178" s="4"/>
      <c r="M178" s="4"/>
      <c r="N178" s="4"/>
      <c r="O178" s="4"/>
      <c r="P178" s="4"/>
    </row>
    <row r="179" spans="1:16">
      <c r="A179" s="4"/>
      <c r="H179" s="7"/>
      <c r="I179" s="7"/>
      <c r="J179" s="7"/>
      <c r="K179" s="7"/>
      <c r="L179" s="4"/>
      <c r="M179" s="4"/>
      <c r="N179" s="4"/>
      <c r="O179" s="4"/>
      <c r="P179" s="4"/>
    </row>
    <row r="180" spans="1:16">
      <c r="A180" s="4"/>
      <c r="H180" s="7"/>
      <c r="I180" s="7"/>
      <c r="J180" s="7"/>
      <c r="K180" s="7"/>
      <c r="L180" s="4"/>
      <c r="M180" s="4"/>
      <c r="N180" s="4"/>
      <c r="O180" s="4"/>
      <c r="P180" s="4"/>
    </row>
    <row r="181" spans="1:16">
      <c r="A181" s="4"/>
      <c r="H181" s="7"/>
      <c r="I181" s="7"/>
      <c r="J181" s="7"/>
      <c r="K181" s="7"/>
      <c r="L181" s="4"/>
      <c r="M181" s="4"/>
      <c r="N181" s="4"/>
      <c r="O181" s="4"/>
      <c r="P181" s="4"/>
    </row>
    <row r="182" spans="1:16">
      <c r="A182" s="4"/>
      <c r="H182" s="7"/>
      <c r="I182" s="7"/>
      <c r="J182" s="7"/>
      <c r="K182" s="7"/>
      <c r="L182" s="4"/>
      <c r="M182" s="4"/>
      <c r="N182" s="4"/>
      <c r="O182" s="4"/>
      <c r="P182" s="4"/>
    </row>
    <row r="183" spans="1:16">
      <c r="A183" s="4"/>
      <c r="H183" s="7"/>
      <c r="I183" s="7"/>
      <c r="J183" s="7"/>
      <c r="K183" s="7"/>
      <c r="L183" s="4"/>
      <c r="M183" s="4"/>
      <c r="N183" s="4"/>
      <c r="O183" s="4"/>
      <c r="P183" s="4"/>
    </row>
    <row r="184" spans="1:16">
      <c r="A184" s="4"/>
      <c r="H184" s="7"/>
      <c r="I184" s="7"/>
      <c r="J184" s="7"/>
      <c r="K184" s="7"/>
      <c r="L184" s="4"/>
      <c r="M184" s="4"/>
      <c r="N184" s="4"/>
      <c r="O184" s="4"/>
      <c r="P184" s="4"/>
    </row>
    <row r="185" spans="1:16">
      <c r="A185" s="4"/>
      <c r="H185" s="7"/>
      <c r="I185" s="7"/>
      <c r="J185" s="7"/>
      <c r="K185" s="7"/>
      <c r="L185" s="4"/>
      <c r="M185" s="4"/>
      <c r="N185" s="4"/>
      <c r="O185" s="4"/>
      <c r="P185" s="4"/>
    </row>
    <row r="186" spans="1:16">
      <c r="A186" s="4"/>
      <c r="H186" s="7"/>
      <c r="I186" s="7"/>
      <c r="J186" s="7"/>
      <c r="K186" s="7"/>
      <c r="L186" s="4"/>
      <c r="M186" s="4"/>
      <c r="N186" s="4"/>
      <c r="O186" s="4"/>
      <c r="P186" s="4"/>
    </row>
    <row r="187" spans="1:16">
      <c r="A187" s="4"/>
      <c r="H187" s="7"/>
      <c r="I187" s="7"/>
      <c r="J187" s="7"/>
      <c r="K187" s="7"/>
      <c r="L187" s="4"/>
      <c r="M187" s="4"/>
      <c r="N187" s="4"/>
      <c r="O187" s="4"/>
      <c r="P187" s="4"/>
    </row>
    <row r="188" spans="1:16">
      <c r="A188" s="4"/>
      <c r="H188" s="7"/>
      <c r="I188" s="7"/>
      <c r="J188" s="7"/>
      <c r="K188" s="7"/>
      <c r="L188" s="4"/>
      <c r="M188" s="4"/>
      <c r="N188" s="4"/>
      <c r="O188" s="4"/>
      <c r="P188" s="4"/>
    </row>
    <row r="189" spans="1:16">
      <c r="A189" s="4"/>
      <c r="H189" s="7"/>
      <c r="I189" s="7"/>
      <c r="J189" s="7"/>
      <c r="K189" s="7"/>
      <c r="L189" s="4"/>
      <c r="M189" s="4"/>
      <c r="N189" s="4"/>
      <c r="O189" s="4"/>
      <c r="P189" s="4"/>
    </row>
    <row r="190" spans="1:16">
      <c r="A190" s="4"/>
      <c r="H190" s="7"/>
      <c r="I190" s="7"/>
      <c r="J190" s="7"/>
      <c r="K190" s="7"/>
      <c r="L190" s="4"/>
      <c r="M190" s="4"/>
      <c r="N190" s="4"/>
      <c r="O190" s="4"/>
      <c r="P190" s="4"/>
    </row>
    <row r="191" spans="1:16">
      <c r="A191" s="4"/>
      <c r="H191" s="7"/>
      <c r="I191" s="7"/>
      <c r="J191" s="7"/>
      <c r="K191" s="7"/>
      <c r="L191" s="4"/>
      <c r="M191" s="4"/>
      <c r="N191" s="4"/>
      <c r="O191" s="4"/>
      <c r="P191" s="4"/>
    </row>
    <row r="192" spans="1:16">
      <c r="A192" s="4"/>
      <c r="H192" s="7"/>
      <c r="I192" s="7"/>
      <c r="J192" s="7"/>
      <c r="K192" s="7"/>
      <c r="L192" s="4"/>
      <c r="M192" s="4"/>
      <c r="N192" s="4"/>
      <c r="O192" s="4"/>
      <c r="P192" s="4"/>
    </row>
    <row r="193" spans="1:16">
      <c r="A193" s="4"/>
      <c r="H193" s="7"/>
      <c r="I193" s="7"/>
      <c r="J193" s="7"/>
      <c r="K193" s="7"/>
      <c r="L193" s="4"/>
      <c r="M193" s="4"/>
      <c r="N193" s="4"/>
      <c r="O193" s="4"/>
      <c r="P193" s="4"/>
    </row>
    <row r="194" spans="1:16">
      <c r="A194" s="4"/>
      <c r="H194" s="7"/>
      <c r="I194" s="7"/>
      <c r="J194" s="7"/>
      <c r="K194" s="7"/>
      <c r="L194" s="4"/>
      <c r="M194" s="4"/>
      <c r="N194" s="4"/>
      <c r="O194" s="4"/>
      <c r="P194" s="4"/>
    </row>
    <row r="195" spans="1:16">
      <c r="A195" s="4"/>
      <c r="H195" s="7"/>
      <c r="I195" s="7"/>
      <c r="J195" s="7"/>
      <c r="K195" s="7"/>
      <c r="L195" s="4"/>
      <c r="M195" s="4"/>
      <c r="N195" s="4"/>
      <c r="O195" s="4"/>
      <c r="P195" s="4"/>
    </row>
    <row r="196" spans="1:16">
      <c r="A196" s="4"/>
      <c r="H196" s="7"/>
      <c r="I196" s="7"/>
      <c r="J196" s="7"/>
      <c r="K196" s="7"/>
      <c r="L196" s="4"/>
      <c r="M196" s="4"/>
      <c r="N196" s="4"/>
      <c r="O196" s="4"/>
      <c r="P196" s="4"/>
    </row>
    <row r="197" spans="1:16">
      <c r="A197" s="4"/>
      <c r="H197" s="7"/>
      <c r="I197" s="7"/>
      <c r="J197" s="7"/>
      <c r="K197" s="7"/>
      <c r="L197" s="4"/>
      <c r="M197" s="4"/>
      <c r="N197" s="4"/>
      <c r="O197" s="4"/>
      <c r="P197" s="4"/>
    </row>
    <row r="198" spans="1:16">
      <c r="A198" s="4"/>
      <c r="H198" s="7"/>
      <c r="I198" s="7"/>
      <c r="J198" s="7"/>
      <c r="K198" s="7"/>
      <c r="L198" s="4"/>
      <c r="M198" s="4"/>
      <c r="N198" s="4"/>
      <c r="O198" s="4"/>
      <c r="P198" s="4"/>
    </row>
    <row r="199" spans="1:16">
      <c r="A199" s="4"/>
      <c r="H199" s="7"/>
      <c r="I199" s="7"/>
      <c r="J199" s="7"/>
      <c r="K199" s="7"/>
      <c r="L199" s="4"/>
      <c r="M199" s="4"/>
      <c r="N199" s="4"/>
      <c r="O199" s="4"/>
      <c r="P199" s="4"/>
    </row>
    <row r="200" spans="1:16">
      <c r="A200" s="4"/>
      <c r="H200" s="7"/>
      <c r="I200" s="7"/>
      <c r="J200" s="7"/>
      <c r="K200" s="7"/>
      <c r="L200" s="4"/>
      <c r="M200" s="4"/>
      <c r="N200" s="4"/>
      <c r="O200" s="4"/>
      <c r="P200" s="4"/>
    </row>
    <row r="201" spans="1:16">
      <c r="A201" s="4"/>
      <c r="H201" s="7"/>
      <c r="I201" s="7"/>
      <c r="J201" s="7"/>
      <c r="K201" s="7"/>
      <c r="L201" s="4"/>
      <c r="M201" s="4"/>
      <c r="N201" s="4"/>
      <c r="O201" s="4"/>
      <c r="P201" s="4"/>
    </row>
    <row r="202" spans="1:16">
      <c r="A202" s="4"/>
      <c r="H202" s="7"/>
      <c r="I202" s="7"/>
      <c r="J202" s="7"/>
      <c r="K202" s="7"/>
      <c r="L202" s="4"/>
      <c r="M202" s="4"/>
      <c r="N202" s="4"/>
      <c r="O202" s="4"/>
      <c r="P202" s="4"/>
    </row>
    <row r="203" spans="1:16">
      <c r="A203" s="4"/>
      <c r="H203" s="7"/>
      <c r="I203" s="7"/>
      <c r="J203" s="7"/>
      <c r="K203" s="7"/>
      <c r="L203" s="4"/>
      <c r="M203" s="4"/>
      <c r="N203" s="4"/>
      <c r="O203" s="4"/>
      <c r="P203" s="4"/>
    </row>
    <row r="204" spans="1:16">
      <c r="A204" s="4"/>
      <c r="H204" s="7"/>
      <c r="I204" s="7"/>
      <c r="J204" s="7"/>
      <c r="K204" s="7"/>
      <c r="L204" s="4"/>
      <c r="M204" s="4"/>
      <c r="N204" s="4"/>
      <c r="O204" s="4"/>
      <c r="P204" s="4"/>
    </row>
    <row r="205" spans="1:16">
      <c r="A205" s="4"/>
      <c r="H205" s="7"/>
      <c r="I205" s="7"/>
      <c r="J205" s="7"/>
      <c r="K205" s="7"/>
      <c r="L205" s="4"/>
      <c r="M205" s="4"/>
      <c r="N205" s="4"/>
      <c r="O205" s="4"/>
      <c r="P205" s="4"/>
    </row>
    <row r="206" spans="1:16">
      <c r="A206" s="4"/>
      <c r="H206" s="7"/>
      <c r="I206" s="7"/>
      <c r="J206" s="7"/>
      <c r="K206" s="7"/>
      <c r="L206" s="4"/>
      <c r="M206" s="4"/>
      <c r="N206" s="4"/>
      <c r="O206" s="4"/>
      <c r="P206" s="4"/>
    </row>
    <row r="207" spans="1:16">
      <c r="A207" s="4"/>
      <c r="H207" s="7"/>
      <c r="I207" s="7"/>
      <c r="J207" s="7"/>
      <c r="K207" s="7"/>
      <c r="L207" s="4"/>
      <c r="M207" s="4"/>
      <c r="N207" s="4"/>
      <c r="O207" s="4"/>
      <c r="P207" s="4"/>
    </row>
    <row r="208" spans="1:16">
      <c r="A208" s="4"/>
      <c r="H208" s="7"/>
      <c r="I208" s="7"/>
      <c r="J208" s="7"/>
      <c r="K208" s="7"/>
      <c r="L208" s="4"/>
      <c r="M208" s="4"/>
      <c r="N208" s="4"/>
      <c r="O208" s="4"/>
      <c r="P208" s="4"/>
    </row>
    <row r="209" spans="1:16">
      <c r="A209" s="4"/>
      <c r="H209" s="7"/>
      <c r="I209" s="7"/>
      <c r="J209" s="7"/>
      <c r="K209" s="7"/>
      <c r="L209" s="4"/>
      <c r="M209" s="4"/>
      <c r="N209" s="4"/>
      <c r="O209" s="4"/>
      <c r="P209" s="4"/>
    </row>
    <row r="210" spans="1:16">
      <c r="A210" s="4"/>
      <c r="H210" s="7"/>
      <c r="I210" s="7"/>
      <c r="J210" s="7"/>
      <c r="K210" s="7"/>
      <c r="L210" s="4"/>
      <c r="M210" s="4"/>
      <c r="N210" s="4"/>
      <c r="O210" s="4"/>
      <c r="P210" s="4"/>
    </row>
    <row r="211" spans="1:16">
      <c r="A211" s="4"/>
      <c r="H211" s="7"/>
      <c r="I211" s="7"/>
      <c r="J211" s="7"/>
      <c r="K211" s="7"/>
      <c r="L211" s="4"/>
      <c r="M211" s="4"/>
      <c r="N211" s="4"/>
      <c r="O211" s="4"/>
      <c r="P211" s="4"/>
    </row>
    <row r="212" spans="1:16">
      <c r="A212" s="4"/>
      <c r="H212" s="7"/>
      <c r="I212" s="7"/>
      <c r="J212" s="7"/>
      <c r="K212" s="7"/>
      <c r="L212" s="4"/>
      <c r="M212" s="4"/>
      <c r="N212" s="4"/>
      <c r="O212" s="4"/>
      <c r="P212" s="4"/>
    </row>
    <row r="213" spans="1:16">
      <c r="A213" s="4"/>
      <c r="H213" s="7"/>
      <c r="I213" s="7"/>
      <c r="J213" s="7"/>
      <c r="K213" s="7"/>
      <c r="L213" s="4"/>
      <c r="M213" s="4"/>
      <c r="N213" s="4"/>
      <c r="O213" s="4"/>
      <c r="P213" s="4"/>
    </row>
    <row r="214" spans="1:16">
      <c r="A214" s="4"/>
      <c r="H214" s="7"/>
      <c r="I214" s="7"/>
      <c r="J214" s="7"/>
      <c r="K214" s="7"/>
      <c r="L214" s="4"/>
      <c r="M214" s="4"/>
      <c r="N214" s="4"/>
      <c r="O214" s="4"/>
      <c r="P214" s="4"/>
    </row>
    <row r="215" spans="1:16">
      <c r="A215" s="4"/>
      <c r="H215" s="7"/>
      <c r="I215" s="7"/>
      <c r="J215" s="7"/>
      <c r="K215" s="7"/>
      <c r="L215" s="4"/>
      <c r="M215" s="4"/>
      <c r="N215" s="4"/>
      <c r="O215" s="4"/>
      <c r="P215" s="4"/>
    </row>
    <row r="216" spans="1:16">
      <c r="A216" s="4"/>
      <c r="H216" s="7"/>
      <c r="I216" s="7"/>
      <c r="J216" s="7"/>
      <c r="K216" s="7"/>
      <c r="L216" s="4"/>
      <c r="M216" s="4"/>
      <c r="N216" s="4"/>
      <c r="O216" s="4"/>
      <c r="P216" s="4"/>
    </row>
    <row r="217" spans="1:16">
      <c r="A217" s="4"/>
      <c r="H217" s="7"/>
      <c r="I217" s="7"/>
      <c r="J217" s="7"/>
      <c r="K217" s="7"/>
      <c r="L217" s="4"/>
      <c r="M217" s="4"/>
      <c r="N217" s="4"/>
      <c r="O217" s="4"/>
      <c r="P217" s="4"/>
    </row>
    <row r="218" spans="1:16">
      <c r="A218" s="4"/>
      <c r="H218" s="7"/>
      <c r="I218" s="7"/>
      <c r="J218" s="7"/>
      <c r="K218" s="7"/>
      <c r="L218" s="4"/>
      <c r="M218" s="4"/>
      <c r="N218" s="4"/>
      <c r="O218" s="4"/>
      <c r="P218" s="4"/>
    </row>
    <row r="219" spans="1:16">
      <c r="A219" s="4"/>
      <c r="H219" s="7"/>
      <c r="I219" s="7"/>
      <c r="J219" s="7"/>
      <c r="K219" s="7"/>
      <c r="L219" s="4"/>
      <c r="M219" s="4"/>
      <c r="N219" s="4"/>
      <c r="O219" s="4"/>
      <c r="P219" s="4"/>
    </row>
  </sheetData>
  <mergeCells count="6">
    <mergeCell ref="B1:C1"/>
    <mergeCell ref="I14:Q19"/>
    <mergeCell ref="I10:K10"/>
    <mergeCell ref="I6:L6"/>
    <mergeCell ref="I9:L9"/>
    <mergeCell ref="F1:G1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Q219"/>
  <sheetViews>
    <sheetView tabSelected="1" workbookViewId="0">
      <selection activeCell="E7" sqref="E7"/>
    </sheetView>
  </sheetViews>
  <sheetFormatPr defaultRowHeight="13.5"/>
  <cols>
    <col min="2" max="2" width="23.125" style="38" bestFit="1" customWidth="1"/>
    <col min="3" max="3" width="36.375" style="38" bestFit="1" customWidth="1"/>
    <col min="4" max="4" width="27.625" style="6" bestFit="1" customWidth="1"/>
    <col min="5" max="5" width="23.125" style="39" bestFit="1" customWidth="1"/>
    <col min="6" max="6" width="6.5" style="39" bestFit="1" customWidth="1"/>
    <col min="7" max="7" width="29" style="39" bestFit="1" customWidth="1"/>
    <col min="8" max="8" width="55.625" style="6" bestFit="1" customWidth="1"/>
    <col min="9" max="9" width="22.75" style="6" bestFit="1" customWidth="1"/>
    <col min="10" max="10" width="21.125" style="6" customWidth="1"/>
    <col min="11" max="11" width="20" style="6" bestFit="1" customWidth="1"/>
    <col min="12" max="12" width="15" bestFit="1" customWidth="1"/>
    <col min="13" max="15" width="12.75" customWidth="1"/>
  </cols>
  <sheetData>
    <row r="1" spans="1:17">
      <c r="B1" s="47" t="s">
        <v>107</v>
      </c>
      <c r="C1" s="47"/>
      <c r="F1" s="51" t="s">
        <v>112</v>
      </c>
      <c r="G1" s="51"/>
      <c r="H1" s="39"/>
      <c r="J1" s="49"/>
      <c r="K1" s="49"/>
      <c r="L1" s="49"/>
      <c r="M1" s="49"/>
      <c r="N1" s="49"/>
    </row>
    <row r="2" spans="1:17" ht="40.5">
      <c r="B2" s="46" t="s">
        <v>127</v>
      </c>
      <c r="C2" s="46" t="s">
        <v>126</v>
      </c>
      <c r="D2" s="6" t="s">
        <v>110</v>
      </c>
      <c r="E2" s="44" t="s">
        <v>108</v>
      </c>
      <c r="G2" s="12" t="s">
        <v>128</v>
      </c>
      <c r="H2" s="45" t="s">
        <v>113</v>
      </c>
      <c r="I2" s="14" t="s">
        <v>114</v>
      </c>
      <c r="J2"/>
      <c r="K2"/>
    </row>
    <row r="3" spans="1:17">
      <c r="B3" s="2">
        <v>-40</v>
      </c>
      <c r="C3" s="3">
        <v>32762.472426897406</v>
      </c>
      <c r="D3" s="6">
        <v>-168.6881440002841</v>
      </c>
      <c r="E3" s="2">
        <v>-40</v>
      </c>
      <c r="F3" s="39" t="s">
        <v>1</v>
      </c>
      <c r="G3" s="36" t="s">
        <v>63</v>
      </c>
      <c r="H3" s="12">
        <v>0</v>
      </c>
      <c r="I3" s="12">
        <v>0</v>
      </c>
      <c r="J3"/>
      <c r="K3"/>
    </row>
    <row r="4" spans="1:17">
      <c r="B4" s="2">
        <v>24.94</v>
      </c>
      <c r="C4" s="3">
        <v>32768</v>
      </c>
      <c r="D4" s="6">
        <v>0</v>
      </c>
      <c r="E4" s="2">
        <v>-38.590000000000003</v>
      </c>
      <c r="F4" s="39" t="s">
        <v>2</v>
      </c>
      <c r="G4" s="36" t="s">
        <v>64</v>
      </c>
    </row>
    <row r="5" spans="1:17">
      <c r="B5" s="2">
        <v>80</v>
      </c>
      <c r="C5" s="3">
        <v>32764.026416529407</v>
      </c>
      <c r="D5" s="6">
        <v>-121.26414400026597</v>
      </c>
      <c r="E5" s="2">
        <v>-37.18</v>
      </c>
      <c r="F5" s="39" t="s">
        <v>3</v>
      </c>
      <c r="G5" s="36" t="s">
        <v>65</v>
      </c>
    </row>
    <row r="6" spans="1:17" ht="55.5" customHeight="1">
      <c r="A6" s="16"/>
      <c r="B6" s="17"/>
      <c r="C6" s="18"/>
      <c r="D6" s="10"/>
      <c r="E6" s="2">
        <v>-35.76</v>
      </c>
      <c r="F6" s="39" t="s">
        <v>4</v>
      </c>
      <c r="G6" s="36" t="s">
        <v>66</v>
      </c>
      <c r="I6" s="50" t="s">
        <v>116</v>
      </c>
      <c r="J6" s="51"/>
      <c r="K6" s="51"/>
      <c r="L6" s="51"/>
    </row>
    <row r="7" spans="1:17">
      <c r="A7" s="16"/>
      <c r="B7" s="17"/>
      <c r="C7" s="18"/>
      <c r="D7" s="10"/>
      <c r="E7" s="2">
        <v>-34.35</v>
      </c>
      <c r="F7" s="39" t="s">
        <v>5</v>
      </c>
      <c r="G7" s="36" t="s">
        <v>67</v>
      </c>
      <c r="I7" s="6" t="s">
        <v>50</v>
      </c>
      <c r="K7" s="6" t="s">
        <v>51</v>
      </c>
      <c r="L7" s="10" t="s">
        <v>52</v>
      </c>
    </row>
    <row r="8" spans="1:17">
      <c r="A8" s="16"/>
      <c r="B8" s="17"/>
      <c r="C8" s="18"/>
      <c r="D8" s="10"/>
      <c r="E8" s="2">
        <v>-32.94</v>
      </c>
      <c r="F8" s="39" t="s">
        <v>6</v>
      </c>
      <c r="G8" s="36" t="s">
        <v>68</v>
      </c>
      <c r="I8" s="11">
        <v>-4.0000000000076703E-2</v>
      </c>
      <c r="J8" s="11"/>
      <c r="K8" s="11">
        <v>1.99520000000322</v>
      </c>
      <c r="L8" s="11">
        <v>-24.880144000032601</v>
      </c>
    </row>
    <row r="9" spans="1:17">
      <c r="A9" s="16"/>
      <c r="B9" s="17"/>
      <c r="C9" s="18"/>
      <c r="D9" s="10"/>
      <c r="E9" s="2">
        <v>-31.53</v>
      </c>
      <c r="F9" s="39" t="s">
        <v>7</v>
      </c>
      <c r="G9" s="36" t="s">
        <v>69</v>
      </c>
      <c r="I9" s="51"/>
      <c r="J9" s="51"/>
      <c r="K9" s="51"/>
      <c r="L9" s="51"/>
    </row>
    <row r="10" spans="1:17" ht="37.5" customHeight="1">
      <c r="A10" s="16"/>
      <c r="B10" s="17"/>
      <c r="C10" s="18"/>
      <c r="D10" s="10"/>
      <c r="E10" s="2">
        <v>-30.12</v>
      </c>
      <c r="F10" s="39" t="s">
        <v>8</v>
      </c>
      <c r="G10" s="36" t="s">
        <v>70</v>
      </c>
      <c r="I10" s="48" t="s">
        <v>115</v>
      </c>
      <c r="J10" s="49"/>
      <c r="K10" s="49"/>
      <c r="L10" t="s">
        <v>53</v>
      </c>
      <c r="M10" s="6">
        <v>-0.04</v>
      </c>
      <c r="N10" t="s">
        <v>56</v>
      </c>
    </row>
    <row r="11" spans="1:17" ht="16.5">
      <c r="A11" s="16"/>
      <c r="B11" s="17"/>
      <c r="C11" s="18"/>
      <c r="D11" s="10"/>
      <c r="E11" s="2">
        <v>-28.71</v>
      </c>
      <c r="F11" s="39" t="s">
        <v>9</v>
      </c>
      <c r="G11" s="36" t="s">
        <v>71</v>
      </c>
      <c r="I11"/>
      <c r="J11"/>
      <c r="K11"/>
      <c r="L11" t="s">
        <v>54</v>
      </c>
      <c r="M11" s="6">
        <v>24.94</v>
      </c>
      <c r="N11" t="s">
        <v>49</v>
      </c>
    </row>
    <row r="12" spans="1:17" ht="15.75">
      <c r="A12" s="16"/>
      <c r="B12" s="17"/>
      <c r="C12" s="18"/>
      <c r="D12" s="10"/>
      <c r="E12" s="2">
        <v>-27.29</v>
      </c>
      <c r="F12" s="39" t="s">
        <v>10</v>
      </c>
      <c r="G12" s="36" t="s">
        <v>72</v>
      </c>
      <c r="I12"/>
      <c r="J12"/>
      <c r="K12"/>
      <c r="L12" t="s">
        <v>55</v>
      </c>
      <c r="M12" s="6">
        <v>0</v>
      </c>
      <c r="N12" t="s">
        <v>48</v>
      </c>
    </row>
    <row r="13" spans="1:17">
      <c r="A13" s="16"/>
      <c r="B13" s="17"/>
      <c r="C13" s="18"/>
      <c r="D13" s="10"/>
      <c r="E13" s="2">
        <v>-25.88</v>
      </c>
      <c r="F13" s="39" t="s">
        <v>11</v>
      </c>
      <c r="G13" s="36" t="s">
        <v>73</v>
      </c>
    </row>
    <row r="14" spans="1:17" ht="13.5" customHeight="1">
      <c r="A14" s="16"/>
      <c r="B14" s="17"/>
      <c r="C14" s="18"/>
      <c r="D14" s="10"/>
      <c r="E14" s="2">
        <v>-24.47</v>
      </c>
      <c r="F14" s="39" t="s">
        <v>12</v>
      </c>
      <c r="G14" s="36" t="s">
        <v>74</v>
      </c>
      <c r="I14" s="48" t="s">
        <v>117</v>
      </c>
      <c r="J14" s="48"/>
      <c r="K14" s="48"/>
      <c r="L14" s="48"/>
      <c r="M14" s="48"/>
      <c r="N14" s="48"/>
      <c r="O14" s="48"/>
      <c r="P14" s="48"/>
      <c r="Q14" s="48"/>
    </row>
    <row r="15" spans="1:17">
      <c r="A15" s="16"/>
      <c r="B15" s="17"/>
      <c r="C15" s="18"/>
      <c r="D15" s="10"/>
      <c r="E15" s="2">
        <v>-23.06</v>
      </c>
      <c r="F15" s="39" t="s">
        <v>13</v>
      </c>
      <c r="G15" s="36" t="s">
        <v>75</v>
      </c>
      <c r="I15" s="48"/>
      <c r="J15" s="48"/>
      <c r="K15" s="48"/>
      <c r="L15" s="48"/>
      <c r="M15" s="48"/>
      <c r="N15" s="48"/>
      <c r="O15" s="48"/>
      <c r="P15" s="48"/>
      <c r="Q15" s="48"/>
    </row>
    <row r="16" spans="1:17">
      <c r="A16" s="16"/>
      <c r="B16" s="17"/>
      <c r="C16" s="18"/>
      <c r="D16" s="10"/>
      <c r="E16" s="2">
        <v>-21.65</v>
      </c>
      <c r="F16" s="39" t="s">
        <v>14</v>
      </c>
      <c r="G16" s="36" t="s">
        <v>76</v>
      </c>
      <c r="I16" s="48"/>
      <c r="J16" s="48"/>
      <c r="K16" s="48"/>
      <c r="L16" s="48"/>
      <c r="M16" s="48"/>
      <c r="N16" s="48"/>
      <c r="O16" s="48"/>
      <c r="P16" s="48"/>
      <c r="Q16" s="48"/>
    </row>
    <row r="17" spans="1:17">
      <c r="A17" s="16"/>
      <c r="B17" s="17"/>
      <c r="C17" s="18"/>
      <c r="D17" s="10"/>
      <c r="E17" s="2">
        <v>-20.239999999999998</v>
      </c>
      <c r="F17" s="39" t="s">
        <v>15</v>
      </c>
      <c r="G17" s="36" t="s">
        <v>88</v>
      </c>
      <c r="I17" s="48"/>
      <c r="J17" s="48"/>
      <c r="K17" s="48"/>
      <c r="L17" s="48"/>
      <c r="M17" s="48"/>
      <c r="N17" s="48"/>
      <c r="O17" s="48"/>
      <c r="P17" s="48"/>
      <c r="Q17" s="48"/>
    </row>
    <row r="18" spans="1:17">
      <c r="A18" s="16"/>
      <c r="B18" s="17"/>
      <c r="C18" s="18"/>
      <c r="D18" s="10"/>
      <c r="E18" s="2">
        <v>-18.82</v>
      </c>
      <c r="F18" s="39" t="s">
        <v>16</v>
      </c>
      <c r="G18" s="36" t="s">
        <v>89</v>
      </c>
      <c r="I18" s="48"/>
      <c r="J18" s="48"/>
      <c r="K18" s="48"/>
      <c r="L18" s="48"/>
      <c r="M18" s="48"/>
      <c r="N18" s="48"/>
      <c r="O18" s="48"/>
      <c r="P18" s="48"/>
      <c r="Q18" s="48"/>
    </row>
    <row r="19" spans="1:17">
      <c r="A19" s="16"/>
      <c r="B19" s="17"/>
      <c r="C19" s="18"/>
      <c r="D19" s="10"/>
      <c r="E19" s="2">
        <v>-17.41</v>
      </c>
      <c r="F19" s="39" t="s">
        <v>17</v>
      </c>
      <c r="G19" s="36" t="s">
        <v>77</v>
      </c>
      <c r="I19" s="48"/>
      <c r="J19" s="48"/>
      <c r="K19" s="48"/>
      <c r="L19" s="48"/>
      <c r="M19" s="48"/>
      <c r="N19" s="48"/>
      <c r="O19" s="48"/>
      <c r="P19" s="48"/>
      <c r="Q19" s="48"/>
    </row>
    <row r="20" spans="1:17">
      <c r="A20" s="16"/>
      <c r="B20" s="17"/>
      <c r="C20" s="18"/>
      <c r="D20" s="10"/>
      <c r="E20" s="2">
        <v>-16</v>
      </c>
      <c r="F20" s="39" t="s">
        <v>18</v>
      </c>
      <c r="G20" s="36" t="s">
        <v>90</v>
      </c>
    </row>
    <row r="21" spans="1:17">
      <c r="A21" s="16"/>
      <c r="B21" s="17"/>
      <c r="C21" s="18"/>
      <c r="D21" s="10"/>
      <c r="E21" s="2">
        <v>-14.59</v>
      </c>
      <c r="F21" s="39" t="s">
        <v>19</v>
      </c>
      <c r="G21" s="36" t="s">
        <v>91</v>
      </c>
    </row>
    <row r="22" spans="1:17">
      <c r="A22" s="16"/>
      <c r="B22" s="17"/>
      <c r="C22" s="18"/>
      <c r="D22" s="10"/>
      <c r="E22" s="2">
        <v>-13.18</v>
      </c>
      <c r="F22" s="39" t="s">
        <v>20</v>
      </c>
      <c r="G22" s="36" t="s">
        <v>78</v>
      </c>
    </row>
    <row r="23" spans="1:17">
      <c r="A23" s="16"/>
      <c r="B23" s="17"/>
      <c r="C23" s="18"/>
      <c r="D23" s="10"/>
      <c r="E23" s="2">
        <v>-11.76</v>
      </c>
      <c r="F23" s="39" t="s">
        <v>21</v>
      </c>
      <c r="G23" s="36" t="s">
        <v>79</v>
      </c>
    </row>
    <row r="24" spans="1:17">
      <c r="A24" s="16"/>
      <c r="B24" s="17"/>
      <c r="C24" s="18"/>
      <c r="D24" s="10"/>
      <c r="E24" s="2">
        <v>-10.35</v>
      </c>
      <c r="F24" s="39" t="s">
        <v>22</v>
      </c>
      <c r="G24" s="36" t="s">
        <v>92</v>
      </c>
    </row>
    <row r="25" spans="1:17">
      <c r="A25" s="16"/>
      <c r="B25" s="17"/>
      <c r="C25" s="18"/>
      <c r="D25" s="10"/>
      <c r="E25" s="2">
        <v>-8.94</v>
      </c>
      <c r="F25" s="39" t="s">
        <v>23</v>
      </c>
      <c r="G25" s="36" t="s">
        <v>93</v>
      </c>
    </row>
    <row r="26" spans="1:17">
      <c r="A26" s="16"/>
      <c r="B26" s="17"/>
      <c r="C26" s="18"/>
      <c r="D26" s="10"/>
      <c r="E26" s="2">
        <v>-7.53</v>
      </c>
      <c r="F26" s="39" t="s">
        <v>24</v>
      </c>
      <c r="G26" s="36" t="s">
        <v>80</v>
      </c>
    </row>
    <row r="27" spans="1:17">
      <c r="A27" s="16"/>
      <c r="B27" s="17"/>
      <c r="C27" s="18"/>
      <c r="D27" s="10"/>
      <c r="E27" s="2">
        <v>-6.12</v>
      </c>
      <c r="F27" s="39" t="s">
        <v>25</v>
      </c>
      <c r="G27" s="36" t="s">
        <v>81</v>
      </c>
    </row>
    <row r="28" spans="1:17">
      <c r="A28" s="16"/>
      <c r="B28" s="17"/>
      <c r="C28" s="18"/>
      <c r="D28" s="10"/>
      <c r="E28" s="2">
        <v>-4.71</v>
      </c>
      <c r="F28" s="39" t="s">
        <v>26</v>
      </c>
      <c r="G28" s="36" t="s">
        <v>94</v>
      </c>
    </row>
    <row r="29" spans="1:17">
      <c r="A29" s="16"/>
      <c r="B29" s="17"/>
      <c r="C29" s="18"/>
      <c r="D29" s="10"/>
      <c r="E29" s="2">
        <v>-3.29</v>
      </c>
      <c r="F29" s="39" t="s">
        <v>27</v>
      </c>
      <c r="G29" s="36" t="s">
        <v>95</v>
      </c>
    </row>
    <row r="30" spans="1:17">
      <c r="A30" s="16"/>
      <c r="B30" s="17"/>
      <c r="C30" s="18"/>
      <c r="D30" s="10"/>
      <c r="E30" s="2">
        <v>-1.88</v>
      </c>
      <c r="F30" s="39" t="s">
        <v>28</v>
      </c>
      <c r="G30" s="36" t="s">
        <v>96</v>
      </c>
    </row>
    <row r="31" spans="1:17">
      <c r="A31" s="16"/>
      <c r="B31" s="17"/>
      <c r="C31" s="18"/>
      <c r="D31" s="10"/>
      <c r="E31" s="2">
        <v>-0.47</v>
      </c>
      <c r="F31" s="39" t="s">
        <v>29</v>
      </c>
      <c r="G31" s="36" t="s">
        <v>82</v>
      </c>
    </row>
    <row r="32" spans="1:17">
      <c r="A32" s="16"/>
      <c r="B32" s="17"/>
      <c r="C32" s="18"/>
      <c r="D32" s="10"/>
      <c r="E32" s="2">
        <v>0.94</v>
      </c>
      <c r="F32" s="39" t="s">
        <v>30</v>
      </c>
      <c r="G32" s="36" t="s">
        <v>83</v>
      </c>
    </row>
    <row r="33" spans="1:7">
      <c r="A33" s="16"/>
      <c r="B33" s="17"/>
      <c r="C33" s="18"/>
      <c r="D33" s="10"/>
      <c r="E33" s="2">
        <v>2.35</v>
      </c>
      <c r="F33" s="39" t="s">
        <v>31</v>
      </c>
      <c r="G33" s="36" t="s">
        <v>97</v>
      </c>
    </row>
    <row r="34" spans="1:7">
      <c r="A34" s="16"/>
      <c r="B34" s="17"/>
      <c r="C34" s="18"/>
      <c r="D34" s="10"/>
      <c r="E34" s="2">
        <v>3.76</v>
      </c>
      <c r="F34" s="39" t="s">
        <v>32</v>
      </c>
      <c r="G34" s="36" t="s">
        <v>98</v>
      </c>
    </row>
    <row r="35" spans="1:7" ht="13.5" customHeight="1">
      <c r="A35" s="16"/>
      <c r="B35" s="17"/>
      <c r="C35" s="18"/>
      <c r="D35" s="10"/>
      <c r="E35" s="2">
        <v>5.18</v>
      </c>
      <c r="F35" s="39" t="s">
        <v>33</v>
      </c>
      <c r="G35" s="36" t="s">
        <v>99</v>
      </c>
    </row>
    <row r="36" spans="1:7">
      <c r="A36" s="16"/>
      <c r="B36" s="17"/>
      <c r="C36" s="18"/>
      <c r="D36" s="10"/>
      <c r="E36" s="2">
        <v>6.59</v>
      </c>
      <c r="F36" s="39" t="s">
        <v>34</v>
      </c>
      <c r="G36" s="36" t="s">
        <v>100</v>
      </c>
    </row>
    <row r="37" spans="1:7">
      <c r="A37" s="16"/>
      <c r="B37" s="17"/>
      <c r="C37" s="18"/>
      <c r="D37" s="10"/>
      <c r="E37" s="2">
        <v>8</v>
      </c>
      <c r="F37" s="39" t="s">
        <v>35</v>
      </c>
      <c r="G37" s="36" t="s">
        <v>84</v>
      </c>
    </row>
    <row r="38" spans="1:7">
      <c r="A38" s="16"/>
      <c r="B38" s="17"/>
      <c r="C38" s="18"/>
      <c r="D38" s="10"/>
      <c r="E38" s="2">
        <v>9.41</v>
      </c>
      <c r="F38" s="39" t="s">
        <v>36</v>
      </c>
      <c r="G38" s="36" t="s">
        <v>85</v>
      </c>
    </row>
    <row r="39" spans="1:7">
      <c r="A39" s="16"/>
      <c r="B39" s="17"/>
      <c r="C39" s="18"/>
      <c r="D39" s="10"/>
      <c r="E39" s="2">
        <v>10.82</v>
      </c>
      <c r="F39" s="39" t="s">
        <v>37</v>
      </c>
      <c r="G39" s="36" t="s">
        <v>86</v>
      </c>
    </row>
    <row r="40" spans="1:7">
      <c r="A40" s="16"/>
      <c r="B40" s="17"/>
      <c r="C40" s="18"/>
      <c r="D40" s="10"/>
      <c r="E40" s="2">
        <v>12.24</v>
      </c>
      <c r="F40" s="39" t="s">
        <v>38</v>
      </c>
      <c r="G40" s="36" t="s">
        <v>87</v>
      </c>
    </row>
    <row r="41" spans="1:7">
      <c r="A41" s="16"/>
      <c r="B41" s="17"/>
      <c r="C41" s="18"/>
      <c r="D41" s="10"/>
      <c r="E41" s="2">
        <v>13.65</v>
      </c>
      <c r="F41" s="39" t="s">
        <v>39</v>
      </c>
      <c r="G41" s="36" t="s">
        <v>101</v>
      </c>
    </row>
    <row r="42" spans="1:7">
      <c r="A42" s="16"/>
      <c r="B42" s="17"/>
      <c r="C42" s="18"/>
      <c r="D42" s="10"/>
      <c r="E42" s="2">
        <v>15.06</v>
      </c>
      <c r="F42" s="39" t="s">
        <v>40</v>
      </c>
      <c r="G42" s="36" t="s">
        <v>102</v>
      </c>
    </row>
    <row r="43" spans="1:7">
      <c r="A43" s="16"/>
      <c r="B43" s="17"/>
      <c r="C43" s="18"/>
      <c r="D43" s="10"/>
      <c r="E43" s="2">
        <v>16.47</v>
      </c>
      <c r="F43" s="39" t="s">
        <v>41</v>
      </c>
      <c r="G43" s="36" t="s">
        <v>103</v>
      </c>
    </row>
    <row r="44" spans="1:7">
      <c r="A44" s="16"/>
      <c r="B44" s="17"/>
      <c r="C44" s="18"/>
      <c r="D44" s="10"/>
      <c r="E44" s="2">
        <v>17.88</v>
      </c>
      <c r="F44" s="39" t="s">
        <v>42</v>
      </c>
      <c r="G44" s="36" t="s">
        <v>104</v>
      </c>
    </row>
    <row r="45" spans="1:7">
      <c r="A45" s="16"/>
      <c r="B45" s="17"/>
      <c r="C45" s="18"/>
      <c r="D45" s="10"/>
      <c r="E45" s="2">
        <v>19.29</v>
      </c>
      <c r="F45" s="39" t="s">
        <v>43</v>
      </c>
      <c r="G45" s="36" t="s">
        <v>105</v>
      </c>
    </row>
    <row r="46" spans="1:7">
      <c r="A46" s="16"/>
      <c r="B46" s="17"/>
      <c r="C46" s="18"/>
      <c r="D46" s="10"/>
      <c r="E46" s="2">
        <v>20.71</v>
      </c>
      <c r="F46" s="39" t="s">
        <v>44</v>
      </c>
      <c r="G46" s="36" t="s">
        <v>105</v>
      </c>
    </row>
    <row r="47" spans="1:7">
      <c r="A47" s="16"/>
      <c r="B47" s="17"/>
      <c r="C47" s="18"/>
      <c r="D47" s="10"/>
      <c r="E47" s="2">
        <v>22.12</v>
      </c>
      <c r="F47" s="39" t="s">
        <v>45</v>
      </c>
      <c r="G47" s="36" t="s">
        <v>106</v>
      </c>
    </row>
    <row r="48" spans="1:7">
      <c r="A48" s="16"/>
      <c r="B48" s="17"/>
      <c r="C48" s="18"/>
      <c r="D48" s="10"/>
      <c r="E48" s="2">
        <v>23.53</v>
      </c>
      <c r="F48" s="39" t="s">
        <v>46</v>
      </c>
      <c r="G48" s="36" t="s">
        <v>106</v>
      </c>
    </row>
    <row r="49" spans="1:7">
      <c r="A49" s="16"/>
      <c r="B49" s="17"/>
      <c r="C49" s="18"/>
      <c r="D49" s="10"/>
      <c r="E49" s="2">
        <v>24.94</v>
      </c>
      <c r="F49" s="39" t="s">
        <v>47</v>
      </c>
      <c r="G49" s="36" t="s">
        <v>106</v>
      </c>
    </row>
    <row r="50" spans="1:7">
      <c r="A50" s="16"/>
      <c r="B50" s="17"/>
      <c r="C50" s="18"/>
      <c r="D50" s="10"/>
    </row>
    <row r="51" spans="1:7">
      <c r="A51" s="16"/>
      <c r="B51" s="17"/>
      <c r="C51" s="18"/>
      <c r="D51" s="10"/>
    </row>
    <row r="52" spans="1:7">
      <c r="A52" s="16"/>
      <c r="B52" s="17"/>
      <c r="C52" s="18"/>
      <c r="D52" s="10"/>
    </row>
    <row r="53" spans="1:7">
      <c r="A53" s="16"/>
      <c r="B53" s="17"/>
      <c r="C53" s="18"/>
      <c r="D53" s="10"/>
    </row>
    <row r="54" spans="1:7">
      <c r="A54" s="16"/>
      <c r="B54" s="17"/>
      <c r="C54" s="18"/>
      <c r="D54" s="10"/>
    </row>
    <row r="55" spans="1:7">
      <c r="A55" s="16"/>
      <c r="B55" s="17"/>
      <c r="C55" s="18"/>
      <c r="D55" s="10"/>
    </row>
    <row r="56" spans="1:7">
      <c r="A56" s="16"/>
      <c r="B56" s="17"/>
      <c r="C56" s="18"/>
      <c r="D56" s="10"/>
    </row>
    <row r="57" spans="1:7">
      <c r="A57" s="16"/>
      <c r="B57" s="17"/>
      <c r="C57" s="18"/>
      <c r="D57" s="10"/>
    </row>
    <row r="58" spans="1:7">
      <c r="A58" s="16"/>
      <c r="B58" s="17"/>
      <c r="C58" s="18"/>
      <c r="D58" s="10"/>
    </row>
    <row r="59" spans="1:7">
      <c r="A59" s="16"/>
      <c r="B59" s="17"/>
      <c r="C59" s="18"/>
      <c r="D59" s="10"/>
    </row>
    <row r="60" spans="1:7">
      <c r="A60" s="16"/>
      <c r="B60" s="17"/>
      <c r="C60" s="18"/>
      <c r="D60" s="10"/>
    </row>
    <row r="61" spans="1:7">
      <c r="A61" s="16"/>
      <c r="B61" s="17"/>
      <c r="C61" s="18"/>
      <c r="D61" s="10"/>
    </row>
    <row r="62" spans="1:7">
      <c r="A62" s="16"/>
      <c r="B62" s="17"/>
      <c r="C62" s="18"/>
      <c r="D62" s="10"/>
    </row>
    <row r="63" spans="1:7">
      <c r="A63" s="16"/>
      <c r="B63" s="17"/>
      <c r="C63" s="18"/>
      <c r="D63" s="10"/>
    </row>
    <row r="64" spans="1:7">
      <c r="A64" s="16"/>
      <c r="B64" s="17"/>
      <c r="C64" s="18"/>
      <c r="D64" s="10"/>
    </row>
    <row r="65" spans="1:4">
      <c r="A65" s="16"/>
      <c r="B65" s="17"/>
      <c r="C65" s="18"/>
      <c r="D65" s="10"/>
    </row>
    <row r="66" spans="1:4">
      <c r="A66" s="16"/>
      <c r="B66" s="17"/>
      <c r="C66" s="18"/>
      <c r="D66" s="10"/>
    </row>
    <row r="67" spans="1:4">
      <c r="A67" s="16"/>
      <c r="B67" s="17"/>
      <c r="C67" s="18"/>
      <c r="D67" s="10"/>
    </row>
    <row r="68" spans="1:4">
      <c r="A68" s="16"/>
      <c r="B68" s="17"/>
      <c r="C68" s="18"/>
      <c r="D68" s="10"/>
    </row>
    <row r="69" spans="1:4">
      <c r="A69" s="16"/>
      <c r="B69" s="17"/>
      <c r="C69" s="18"/>
      <c r="D69" s="10"/>
    </row>
    <row r="70" spans="1:4">
      <c r="A70" s="16"/>
      <c r="B70" s="17"/>
      <c r="C70" s="18"/>
      <c r="D70" s="10"/>
    </row>
    <row r="71" spans="1:4">
      <c r="A71" s="16"/>
      <c r="B71" s="17"/>
      <c r="C71" s="18"/>
      <c r="D71" s="10"/>
    </row>
    <row r="72" spans="1:4">
      <c r="A72" s="16"/>
      <c r="B72" s="17"/>
      <c r="C72" s="18"/>
      <c r="D72" s="10"/>
    </row>
    <row r="73" spans="1:4">
      <c r="A73" s="16"/>
      <c r="B73" s="17"/>
      <c r="C73" s="18"/>
      <c r="D73" s="10"/>
    </row>
    <row r="74" spans="1:4">
      <c r="A74" s="16"/>
      <c r="B74" s="17"/>
      <c r="C74" s="18"/>
      <c r="D74" s="10"/>
    </row>
    <row r="75" spans="1:4">
      <c r="A75" s="16"/>
      <c r="B75" s="17"/>
      <c r="C75" s="18"/>
      <c r="D75" s="10"/>
    </row>
    <row r="76" spans="1:4">
      <c r="A76" s="16"/>
      <c r="B76" s="17"/>
      <c r="C76" s="18"/>
      <c r="D76" s="10"/>
    </row>
    <row r="77" spans="1:4">
      <c r="A77" s="16"/>
      <c r="B77" s="17"/>
      <c r="C77" s="18"/>
      <c r="D77" s="10"/>
    </row>
    <row r="78" spans="1:4">
      <c r="A78" s="16"/>
      <c r="B78" s="17"/>
      <c r="C78" s="18"/>
      <c r="D78" s="10"/>
    </row>
    <row r="79" spans="1:4">
      <c r="A79" s="16"/>
      <c r="B79" s="17"/>
      <c r="C79" s="18"/>
      <c r="D79" s="10"/>
    </row>
    <row r="80" spans="1:4">
      <c r="A80" s="16"/>
      <c r="B80" s="17"/>
      <c r="C80" s="18"/>
      <c r="D80" s="10"/>
    </row>
    <row r="81" spans="1:16">
      <c r="A81" s="16"/>
      <c r="B81" s="17"/>
      <c r="C81" s="18"/>
      <c r="D81" s="10"/>
    </row>
    <row r="82" spans="1:16">
      <c r="A82" s="16"/>
      <c r="B82" s="17"/>
      <c r="C82" s="18"/>
      <c r="D82" s="10"/>
    </row>
    <row r="83" spans="1:16">
      <c r="A83" s="16"/>
      <c r="B83" s="17"/>
      <c r="C83" s="18"/>
      <c r="D83" s="10"/>
    </row>
    <row r="84" spans="1:16">
      <c r="A84" s="16"/>
      <c r="B84" s="17"/>
      <c r="C84" s="18"/>
      <c r="D84" s="10"/>
    </row>
    <row r="85" spans="1:16">
      <c r="A85" s="16"/>
      <c r="B85" s="17"/>
      <c r="C85" s="18"/>
      <c r="D85" s="10"/>
    </row>
    <row r="86" spans="1:16">
      <c r="A86" s="16"/>
      <c r="B86" s="17"/>
      <c r="C86" s="18"/>
      <c r="D86" s="10"/>
    </row>
    <row r="87" spans="1:16">
      <c r="A87" s="16"/>
      <c r="B87" s="17"/>
      <c r="C87" s="18"/>
      <c r="D87" s="10"/>
    </row>
    <row r="88" spans="1:16">
      <c r="A88" s="16"/>
      <c r="B88" s="17"/>
      <c r="C88" s="18"/>
      <c r="D88" s="10"/>
    </row>
    <row r="89" spans="1:16">
      <c r="A89" s="16"/>
      <c r="B89" s="17"/>
      <c r="C89" s="18"/>
      <c r="D89" s="10"/>
    </row>
    <row r="90" spans="1:16">
      <c r="A90" s="16"/>
      <c r="B90" s="17"/>
      <c r="C90" s="18"/>
      <c r="D90" s="10"/>
    </row>
    <row r="91" spans="1:16">
      <c r="A91" s="16"/>
      <c r="B91" s="17"/>
      <c r="C91" s="18"/>
      <c r="D91" s="10"/>
    </row>
    <row r="92" spans="1:16">
      <c r="A92" s="16"/>
      <c r="B92" s="17"/>
      <c r="C92" s="18"/>
      <c r="D92" s="10"/>
    </row>
    <row r="93" spans="1:16">
      <c r="A93" s="16"/>
      <c r="B93" s="17"/>
      <c r="C93" s="18"/>
      <c r="D93" s="10"/>
    </row>
    <row r="94" spans="1:16">
      <c r="A94" s="16"/>
      <c r="B94" s="17"/>
      <c r="C94" s="18"/>
      <c r="D94" s="10"/>
    </row>
    <row r="95" spans="1:16">
      <c r="A95" s="16"/>
      <c r="B95" s="17"/>
      <c r="C95" s="18"/>
      <c r="D95" s="10"/>
    </row>
    <row r="96" spans="1:16">
      <c r="A96" s="16"/>
      <c r="B96" s="17"/>
      <c r="C96" s="17"/>
      <c r="D96" s="10"/>
      <c r="E96" s="9"/>
      <c r="F96" s="9"/>
      <c r="G96" s="9"/>
      <c r="H96" s="7"/>
      <c r="I96" s="7"/>
      <c r="J96" s="7"/>
      <c r="K96" s="7"/>
      <c r="L96" s="4"/>
      <c r="M96" s="4"/>
      <c r="N96" s="4"/>
      <c r="O96" s="4"/>
      <c r="P96" s="4"/>
    </row>
    <row r="97" spans="1:16">
      <c r="A97" s="16"/>
      <c r="B97" s="17"/>
      <c r="C97" s="17"/>
      <c r="D97" s="10"/>
      <c r="E97" s="9"/>
      <c r="F97" s="9"/>
      <c r="G97" s="9"/>
      <c r="H97" s="7"/>
      <c r="I97" s="7"/>
      <c r="J97" s="7"/>
      <c r="K97" s="7"/>
      <c r="L97" s="4"/>
      <c r="M97" s="4"/>
      <c r="N97" s="4"/>
      <c r="O97" s="4"/>
      <c r="P97" s="4"/>
    </row>
    <row r="98" spans="1:16">
      <c r="A98" s="16"/>
      <c r="B98" s="17"/>
      <c r="C98" s="17"/>
      <c r="D98" s="10"/>
      <c r="E98" s="9"/>
      <c r="F98" s="9"/>
      <c r="G98" s="9"/>
      <c r="H98" s="7"/>
      <c r="I98" s="7"/>
      <c r="J98" s="7"/>
      <c r="K98" s="7"/>
      <c r="L98" s="4"/>
      <c r="M98" s="4"/>
      <c r="N98" s="4"/>
      <c r="O98" s="4"/>
      <c r="P98" s="4"/>
    </row>
    <row r="99" spans="1:16">
      <c r="A99" s="16"/>
      <c r="B99" s="17"/>
      <c r="C99" s="17"/>
      <c r="D99" s="10"/>
      <c r="E99" s="9"/>
      <c r="F99" s="9"/>
      <c r="G99" s="9"/>
      <c r="H99" s="7"/>
      <c r="I99" s="7"/>
      <c r="J99" s="7"/>
      <c r="K99" s="7"/>
      <c r="L99" s="4"/>
      <c r="M99" s="4"/>
      <c r="N99" s="4"/>
      <c r="O99" s="4"/>
      <c r="P99" s="4"/>
    </row>
    <row r="100" spans="1:16">
      <c r="A100" s="16"/>
      <c r="B100" s="17"/>
      <c r="C100" s="17"/>
      <c r="D100" s="10"/>
      <c r="E100" s="9"/>
      <c r="F100" s="9"/>
      <c r="G100" s="9"/>
      <c r="H100" s="7"/>
      <c r="I100" s="7"/>
      <c r="J100" s="7"/>
      <c r="K100" s="7"/>
      <c r="L100" s="4"/>
      <c r="M100" s="4"/>
      <c r="N100" s="4"/>
      <c r="O100" s="4"/>
      <c r="P100" s="4"/>
    </row>
    <row r="101" spans="1:16">
      <c r="A101" s="16"/>
      <c r="B101" s="17"/>
      <c r="C101" s="17"/>
      <c r="D101" s="10"/>
      <c r="E101" s="9"/>
      <c r="F101" s="9"/>
      <c r="G101" s="9"/>
      <c r="H101" s="7"/>
      <c r="I101" s="7"/>
      <c r="J101" s="7"/>
      <c r="K101" s="7"/>
      <c r="L101" s="4"/>
      <c r="M101" s="4"/>
      <c r="N101" s="4"/>
      <c r="O101" s="4"/>
      <c r="P101" s="4"/>
    </row>
    <row r="102" spans="1:16">
      <c r="A102" s="16"/>
      <c r="B102" s="17"/>
      <c r="C102" s="17"/>
      <c r="D102" s="10"/>
      <c r="E102" s="9"/>
      <c r="F102" s="9"/>
      <c r="G102" s="9"/>
      <c r="H102" s="7"/>
      <c r="I102" s="7"/>
      <c r="J102" s="7"/>
      <c r="K102" s="7"/>
      <c r="L102" s="4"/>
      <c r="M102" s="4"/>
      <c r="N102" s="4"/>
      <c r="O102" s="4"/>
      <c r="P102" s="4"/>
    </row>
    <row r="103" spans="1:16">
      <c r="A103" s="16"/>
      <c r="B103" s="17"/>
      <c r="C103" s="17"/>
      <c r="D103" s="10"/>
      <c r="E103" s="9"/>
      <c r="F103" s="9"/>
      <c r="G103" s="9"/>
      <c r="H103" s="7"/>
      <c r="I103" s="7"/>
      <c r="J103" s="7"/>
      <c r="K103" s="7"/>
      <c r="L103" s="4"/>
      <c r="M103" s="4"/>
      <c r="N103" s="4"/>
      <c r="O103" s="4"/>
      <c r="P103" s="4"/>
    </row>
    <row r="104" spans="1:16">
      <c r="A104" s="16"/>
      <c r="B104" s="17"/>
      <c r="C104" s="17"/>
      <c r="D104" s="10"/>
      <c r="E104" s="9"/>
      <c r="F104" s="9"/>
      <c r="G104" s="9"/>
      <c r="H104" s="7"/>
      <c r="I104" s="7"/>
      <c r="J104" s="7"/>
      <c r="K104" s="7"/>
      <c r="L104" s="4"/>
      <c r="M104" s="4"/>
      <c r="N104" s="4"/>
      <c r="O104" s="4"/>
      <c r="P104" s="4"/>
    </row>
    <row r="105" spans="1:16">
      <c r="A105" s="16"/>
      <c r="B105" s="17"/>
      <c r="C105" s="17"/>
      <c r="D105" s="10"/>
      <c r="E105" s="9"/>
      <c r="F105" s="9"/>
      <c r="G105" s="9"/>
      <c r="H105" s="7"/>
      <c r="I105" s="7"/>
      <c r="J105" s="7"/>
      <c r="K105" s="7"/>
      <c r="L105" s="4"/>
      <c r="M105" s="4"/>
      <c r="N105" s="4"/>
      <c r="O105" s="4"/>
      <c r="P105" s="4"/>
    </row>
    <row r="106" spans="1:16">
      <c r="A106" s="16"/>
      <c r="B106" s="17"/>
      <c r="C106" s="17"/>
      <c r="D106" s="10"/>
      <c r="E106" s="9"/>
      <c r="F106" s="9"/>
      <c r="G106" s="9"/>
      <c r="H106" s="7"/>
      <c r="I106" s="7"/>
      <c r="J106" s="7"/>
      <c r="K106" s="7"/>
      <c r="L106" s="4"/>
      <c r="M106" s="4"/>
      <c r="N106" s="4"/>
      <c r="O106" s="4"/>
      <c r="P106" s="4"/>
    </row>
    <row r="107" spans="1:16">
      <c r="A107" s="16"/>
      <c r="B107" s="17"/>
      <c r="C107" s="17"/>
      <c r="D107" s="10"/>
      <c r="E107" s="9"/>
      <c r="F107" s="9"/>
      <c r="G107" s="9"/>
      <c r="H107" s="7"/>
      <c r="I107" s="7"/>
      <c r="J107" s="7"/>
      <c r="K107" s="7"/>
      <c r="L107" s="4"/>
      <c r="M107" s="4"/>
      <c r="N107" s="4"/>
      <c r="O107" s="4"/>
      <c r="P107" s="4"/>
    </row>
    <row r="108" spans="1:16">
      <c r="A108" s="16"/>
      <c r="B108" s="17"/>
      <c r="C108" s="17"/>
      <c r="D108" s="10"/>
      <c r="E108" s="9"/>
      <c r="F108" s="9"/>
      <c r="G108" s="9"/>
      <c r="H108" s="7"/>
      <c r="I108" s="7"/>
      <c r="J108" s="7"/>
      <c r="K108" s="7"/>
      <c r="L108" s="4"/>
      <c r="M108" s="4"/>
      <c r="N108" s="4"/>
      <c r="O108" s="4"/>
      <c r="P108" s="4"/>
    </row>
    <row r="109" spans="1:16">
      <c r="A109" s="16"/>
      <c r="B109" s="17"/>
      <c r="C109" s="17"/>
      <c r="D109" s="10"/>
      <c r="E109" s="9"/>
      <c r="F109" s="9"/>
      <c r="G109" s="9"/>
      <c r="H109" s="7"/>
      <c r="I109" s="7"/>
      <c r="J109" s="7"/>
      <c r="K109" s="7"/>
      <c r="L109" s="4"/>
      <c r="M109" s="4"/>
      <c r="N109" s="4"/>
      <c r="O109" s="4"/>
      <c r="P109" s="4"/>
    </row>
    <row r="110" spans="1:16">
      <c r="A110" s="16"/>
      <c r="B110" s="17"/>
      <c r="C110" s="17"/>
      <c r="D110" s="10"/>
      <c r="E110" s="9"/>
      <c r="F110" s="9"/>
      <c r="G110" s="9"/>
      <c r="H110" s="7"/>
      <c r="I110" s="7"/>
      <c r="J110" s="7"/>
      <c r="K110" s="7"/>
      <c r="L110" s="4"/>
      <c r="M110" s="4"/>
      <c r="N110" s="4"/>
      <c r="O110" s="4"/>
      <c r="P110" s="4"/>
    </row>
    <row r="111" spans="1:16">
      <c r="A111" s="16"/>
      <c r="B111" s="17"/>
      <c r="C111" s="17"/>
      <c r="D111" s="10"/>
      <c r="E111" s="9"/>
      <c r="F111" s="9"/>
      <c r="G111" s="9"/>
      <c r="H111" s="7"/>
      <c r="I111" s="7"/>
      <c r="J111" s="7"/>
      <c r="K111" s="7"/>
      <c r="L111" s="4"/>
      <c r="M111" s="4"/>
      <c r="N111" s="4"/>
      <c r="O111" s="4"/>
      <c r="P111" s="4"/>
    </row>
    <row r="112" spans="1:16">
      <c r="A112" s="16"/>
      <c r="B112" s="17"/>
      <c r="C112" s="17"/>
      <c r="D112" s="10"/>
      <c r="E112" s="9"/>
      <c r="F112" s="9"/>
      <c r="G112" s="9"/>
      <c r="H112" s="7"/>
      <c r="I112" s="7"/>
      <c r="J112" s="7"/>
      <c r="K112" s="7"/>
      <c r="L112" s="4"/>
      <c r="M112" s="4"/>
      <c r="N112" s="4"/>
      <c r="O112" s="4"/>
      <c r="P112" s="4"/>
    </row>
    <row r="113" spans="1:16">
      <c r="A113" s="16"/>
      <c r="B113" s="17"/>
      <c r="C113" s="17"/>
      <c r="D113" s="10"/>
      <c r="E113" s="9"/>
      <c r="F113" s="9"/>
      <c r="G113" s="9"/>
      <c r="H113" s="7"/>
      <c r="I113" s="7"/>
      <c r="J113" s="7"/>
      <c r="K113" s="7"/>
      <c r="L113" s="4"/>
      <c r="M113" s="4"/>
      <c r="N113" s="4"/>
      <c r="O113" s="4"/>
      <c r="P113" s="4"/>
    </row>
    <row r="114" spans="1:16">
      <c r="A114" s="16"/>
      <c r="B114" s="17"/>
      <c r="C114" s="17"/>
      <c r="D114" s="10"/>
      <c r="E114" s="9"/>
      <c r="F114" s="9"/>
      <c r="G114" s="9"/>
      <c r="H114" s="7"/>
      <c r="I114" s="7"/>
      <c r="J114" s="7"/>
      <c r="K114" s="7"/>
      <c r="L114" s="4"/>
      <c r="M114" s="4"/>
      <c r="N114" s="4"/>
      <c r="O114" s="4"/>
      <c r="P114" s="4"/>
    </row>
    <row r="115" spans="1:16">
      <c r="A115" s="16"/>
      <c r="B115" s="17"/>
      <c r="C115" s="17"/>
      <c r="D115" s="10"/>
      <c r="E115" s="9"/>
      <c r="F115" s="9"/>
      <c r="G115" s="9"/>
      <c r="H115" s="7"/>
      <c r="I115" s="7"/>
      <c r="J115" s="7"/>
      <c r="K115" s="7"/>
      <c r="L115" s="4"/>
      <c r="M115" s="4"/>
      <c r="N115" s="4"/>
      <c r="O115" s="4"/>
      <c r="P115" s="4"/>
    </row>
    <row r="116" spans="1:16">
      <c r="A116" s="16"/>
      <c r="B116" s="17"/>
      <c r="C116" s="17"/>
      <c r="D116" s="10"/>
      <c r="E116" s="9"/>
      <c r="F116" s="9"/>
      <c r="G116" s="9"/>
      <c r="H116" s="7"/>
      <c r="I116" s="7"/>
      <c r="J116" s="7"/>
      <c r="K116" s="7"/>
      <c r="L116" s="4"/>
      <c r="M116" s="4"/>
      <c r="N116" s="4"/>
      <c r="O116" s="4"/>
      <c r="P116" s="4"/>
    </row>
    <row r="117" spans="1:16">
      <c r="A117" s="16"/>
      <c r="B117" s="17"/>
      <c r="C117" s="17"/>
      <c r="D117" s="10"/>
      <c r="E117" s="9"/>
      <c r="F117" s="9"/>
      <c r="G117" s="9"/>
      <c r="H117" s="7"/>
      <c r="I117" s="7"/>
      <c r="J117" s="7"/>
      <c r="K117" s="7"/>
      <c r="L117" s="4"/>
      <c r="M117" s="4"/>
      <c r="N117" s="4"/>
      <c r="O117" s="4"/>
      <c r="P117" s="4"/>
    </row>
    <row r="118" spans="1:16">
      <c r="A118" s="16"/>
      <c r="B118" s="17"/>
      <c r="C118" s="17"/>
      <c r="D118" s="10"/>
      <c r="E118" s="9"/>
      <c r="F118" s="9"/>
      <c r="G118" s="9"/>
      <c r="H118" s="7"/>
      <c r="I118" s="7"/>
      <c r="J118" s="7"/>
      <c r="K118" s="7"/>
      <c r="L118" s="4"/>
      <c r="M118" s="4"/>
      <c r="N118" s="4"/>
      <c r="O118" s="4"/>
      <c r="P118" s="4"/>
    </row>
    <row r="119" spans="1:16">
      <c r="A119" s="16"/>
      <c r="B119" s="17"/>
      <c r="C119" s="17"/>
      <c r="D119" s="10"/>
      <c r="E119" s="9"/>
      <c r="F119" s="9"/>
      <c r="G119" s="9"/>
      <c r="H119" s="7"/>
      <c r="I119" s="7"/>
      <c r="J119" s="7"/>
      <c r="K119" s="7"/>
      <c r="L119" s="4"/>
      <c r="M119" s="4"/>
      <c r="N119" s="4"/>
      <c r="O119" s="4"/>
      <c r="P119" s="4"/>
    </row>
    <row r="120" spans="1:16">
      <c r="A120" s="16"/>
      <c r="B120" s="17"/>
      <c r="C120" s="17"/>
      <c r="D120" s="10"/>
      <c r="E120" s="9"/>
      <c r="F120" s="9"/>
      <c r="G120" s="9"/>
      <c r="H120" s="7"/>
      <c r="I120" s="7"/>
      <c r="J120" s="7"/>
      <c r="K120" s="7"/>
      <c r="L120" s="4"/>
      <c r="M120" s="4"/>
      <c r="N120" s="4"/>
      <c r="O120" s="4"/>
      <c r="P120" s="4"/>
    </row>
    <row r="121" spans="1:16">
      <c r="A121" s="16"/>
      <c r="B121" s="17"/>
      <c r="C121" s="17"/>
      <c r="D121" s="10"/>
      <c r="E121" s="9"/>
      <c r="F121" s="9"/>
      <c r="G121" s="9"/>
      <c r="H121" s="7"/>
      <c r="I121" s="7"/>
      <c r="J121" s="7"/>
      <c r="K121" s="7"/>
      <c r="L121" s="4"/>
      <c r="M121" s="4"/>
      <c r="N121" s="4"/>
      <c r="O121" s="4"/>
      <c r="P121" s="4"/>
    </row>
    <row r="122" spans="1:16">
      <c r="A122" s="16"/>
      <c r="B122" s="17"/>
      <c r="C122" s="17"/>
      <c r="D122" s="10"/>
      <c r="E122" s="9"/>
      <c r="F122" s="9"/>
      <c r="G122" s="9"/>
      <c r="H122" s="7"/>
      <c r="I122" s="7"/>
      <c r="J122" s="7"/>
      <c r="K122" s="7"/>
      <c r="L122" s="4"/>
      <c r="M122" s="4"/>
      <c r="N122" s="4"/>
      <c r="O122" s="4"/>
      <c r="P122" s="4"/>
    </row>
    <row r="123" spans="1:16">
      <c r="A123" s="16"/>
      <c r="B123" s="17"/>
      <c r="C123" s="17"/>
      <c r="D123" s="10"/>
      <c r="E123" s="9"/>
      <c r="F123" s="9"/>
      <c r="G123" s="9"/>
      <c r="H123" s="7"/>
      <c r="I123" s="7"/>
      <c r="J123" s="7"/>
      <c r="K123" s="7"/>
      <c r="L123" s="4"/>
      <c r="M123" s="4"/>
      <c r="N123" s="4"/>
      <c r="O123" s="4"/>
      <c r="P123" s="4"/>
    </row>
    <row r="124" spans="1:16">
      <c r="A124" s="16"/>
      <c r="B124" s="17"/>
      <c r="C124" s="17"/>
      <c r="D124" s="10"/>
      <c r="E124" s="9"/>
      <c r="F124" s="9"/>
      <c r="G124" s="9"/>
      <c r="H124" s="7"/>
      <c r="I124" s="7"/>
      <c r="J124" s="7"/>
      <c r="K124" s="7"/>
      <c r="L124" s="4"/>
      <c r="M124" s="4"/>
      <c r="N124" s="4"/>
      <c r="O124" s="4"/>
      <c r="P124" s="4"/>
    </row>
    <row r="125" spans="1:16">
      <c r="A125" s="16"/>
      <c r="B125" s="17"/>
      <c r="C125" s="17"/>
      <c r="D125" s="10"/>
      <c r="E125" s="9"/>
      <c r="F125" s="9"/>
      <c r="G125" s="9"/>
      <c r="H125" s="7"/>
      <c r="I125" s="7"/>
      <c r="J125" s="7"/>
      <c r="K125" s="7"/>
      <c r="L125" s="4"/>
      <c r="M125" s="4"/>
      <c r="N125" s="4"/>
      <c r="O125" s="4"/>
      <c r="P125" s="4"/>
    </row>
    <row r="126" spans="1:16">
      <c r="A126" s="16"/>
      <c r="B126" s="17"/>
      <c r="C126" s="17"/>
      <c r="D126" s="10"/>
      <c r="E126" s="9"/>
      <c r="F126" s="9"/>
      <c r="G126" s="9"/>
      <c r="H126" s="7"/>
      <c r="I126" s="7"/>
      <c r="J126" s="7"/>
      <c r="K126" s="7"/>
      <c r="L126" s="4"/>
      <c r="M126" s="4"/>
      <c r="N126" s="4"/>
      <c r="O126" s="4"/>
      <c r="P126" s="4"/>
    </row>
    <row r="127" spans="1:16">
      <c r="A127" s="16"/>
      <c r="B127" s="17"/>
      <c r="C127" s="17"/>
      <c r="D127" s="10"/>
      <c r="E127" s="9"/>
      <c r="F127" s="9"/>
      <c r="G127" s="9"/>
      <c r="H127" s="7"/>
      <c r="I127" s="7"/>
      <c r="J127" s="7"/>
      <c r="K127" s="7"/>
      <c r="L127" s="4"/>
      <c r="M127" s="4"/>
      <c r="N127" s="4"/>
      <c r="O127" s="4"/>
      <c r="P127" s="4"/>
    </row>
    <row r="128" spans="1:16">
      <c r="A128" s="16"/>
      <c r="B128" s="17"/>
      <c r="C128" s="17"/>
      <c r="D128" s="10"/>
      <c r="E128" s="9"/>
      <c r="F128" s="9"/>
      <c r="G128" s="9"/>
      <c r="H128" s="7"/>
      <c r="I128" s="7"/>
      <c r="J128" s="7"/>
      <c r="K128" s="7"/>
      <c r="L128" s="4"/>
      <c r="M128" s="4"/>
      <c r="N128" s="4"/>
      <c r="O128" s="4"/>
      <c r="P128" s="4"/>
    </row>
    <row r="129" spans="1:16">
      <c r="A129" s="16"/>
      <c r="B129" s="17"/>
      <c r="C129" s="17"/>
      <c r="D129" s="10"/>
      <c r="E129" s="9"/>
      <c r="F129" s="9"/>
      <c r="G129" s="9"/>
      <c r="H129" s="7"/>
      <c r="I129" s="7"/>
      <c r="J129" s="7"/>
      <c r="K129" s="7"/>
      <c r="L129" s="4"/>
      <c r="M129" s="4"/>
      <c r="N129" s="4"/>
      <c r="O129" s="4"/>
      <c r="P129" s="4"/>
    </row>
    <row r="130" spans="1:16">
      <c r="A130" s="16"/>
      <c r="B130" s="17"/>
      <c r="C130" s="17"/>
      <c r="D130" s="10"/>
      <c r="E130" s="9"/>
      <c r="F130" s="9"/>
      <c r="G130" s="9"/>
      <c r="H130" s="7"/>
      <c r="I130" s="7"/>
      <c r="J130" s="7"/>
      <c r="K130" s="7"/>
      <c r="L130" s="4"/>
      <c r="M130" s="4"/>
      <c r="N130" s="4"/>
      <c r="O130" s="4"/>
      <c r="P130" s="4"/>
    </row>
    <row r="131" spans="1:16">
      <c r="A131" s="16"/>
      <c r="B131" s="17"/>
      <c r="C131" s="17"/>
      <c r="D131" s="10"/>
      <c r="E131" s="9"/>
      <c r="F131" s="9"/>
      <c r="G131" s="9"/>
      <c r="H131" s="7"/>
      <c r="I131" s="7"/>
      <c r="J131" s="7"/>
      <c r="K131" s="7"/>
      <c r="L131" s="4"/>
      <c r="M131" s="4"/>
      <c r="N131" s="4"/>
      <c r="O131" s="4"/>
      <c r="P131" s="4"/>
    </row>
    <row r="132" spans="1:16">
      <c r="A132" s="4"/>
      <c r="B132" s="5"/>
      <c r="C132" s="5"/>
      <c r="D132" s="7"/>
      <c r="E132" s="9"/>
      <c r="F132" s="9"/>
      <c r="G132" s="9"/>
      <c r="H132" s="7"/>
      <c r="I132" s="7"/>
      <c r="J132" s="7"/>
      <c r="K132" s="7"/>
      <c r="L132" s="4"/>
      <c r="M132" s="4"/>
      <c r="N132" s="4"/>
      <c r="O132" s="4"/>
      <c r="P132" s="4"/>
    </row>
    <row r="133" spans="1:16">
      <c r="A133" s="4"/>
      <c r="B133" s="5"/>
      <c r="C133" s="5"/>
      <c r="D133" s="7"/>
      <c r="E133" s="9"/>
      <c r="F133" s="9"/>
      <c r="G133" s="9"/>
      <c r="H133" s="7"/>
      <c r="I133" s="7"/>
      <c r="J133" s="7"/>
      <c r="K133" s="7"/>
      <c r="L133" s="4"/>
      <c r="M133" s="4"/>
      <c r="N133" s="4"/>
      <c r="O133" s="4"/>
      <c r="P133" s="4"/>
    </row>
    <row r="134" spans="1:16">
      <c r="A134" s="4"/>
      <c r="B134" s="5"/>
      <c r="C134" s="5"/>
      <c r="D134" s="7"/>
      <c r="E134" s="9"/>
      <c r="F134" s="9"/>
      <c r="G134" s="9"/>
      <c r="H134" s="7"/>
      <c r="I134" s="7"/>
      <c r="J134" s="7"/>
      <c r="K134" s="7"/>
      <c r="L134" s="4"/>
      <c r="M134" s="4"/>
      <c r="N134" s="4"/>
      <c r="O134" s="4"/>
      <c r="P134" s="4"/>
    </row>
    <row r="135" spans="1:16">
      <c r="A135" s="4"/>
      <c r="B135" s="5"/>
      <c r="C135" s="5"/>
      <c r="D135" s="7"/>
      <c r="E135" s="9"/>
      <c r="F135" s="9"/>
      <c r="G135" s="9"/>
      <c r="H135" s="7"/>
      <c r="I135" s="7"/>
      <c r="J135" s="7"/>
      <c r="K135" s="7"/>
      <c r="L135" s="4"/>
      <c r="M135" s="4"/>
      <c r="N135" s="4"/>
      <c r="O135" s="4"/>
      <c r="P135" s="4"/>
    </row>
    <row r="136" spans="1:16">
      <c r="A136" s="4"/>
      <c r="B136" s="5"/>
      <c r="C136" s="5"/>
      <c r="D136" s="7"/>
      <c r="E136" s="9"/>
      <c r="F136" s="9"/>
      <c r="G136" s="9"/>
      <c r="H136" s="7"/>
      <c r="I136" s="7"/>
      <c r="J136" s="7"/>
      <c r="K136" s="7"/>
      <c r="L136" s="4"/>
      <c r="M136" s="4"/>
      <c r="N136" s="4"/>
      <c r="O136" s="4"/>
      <c r="P136" s="4"/>
    </row>
    <row r="137" spans="1:16">
      <c r="A137" s="4"/>
      <c r="B137" s="5"/>
      <c r="C137" s="5"/>
      <c r="D137" s="7"/>
      <c r="E137" s="9"/>
      <c r="F137" s="9"/>
      <c r="G137" s="9"/>
      <c r="H137" s="7"/>
      <c r="I137" s="7"/>
      <c r="J137" s="7"/>
      <c r="K137" s="7"/>
      <c r="L137" s="4"/>
      <c r="M137" s="4"/>
      <c r="N137" s="4"/>
      <c r="O137" s="4"/>
      <c r="P137" s="4"/>
    </row>
    <row r="138" spans="1:16">
      <c r="A138" s="4"/>
      <c r="B138" s="5"/>
      <c r="C138" s="5"/>
      <c r="D138" s="7"/>
      <c r="E138" s="9"/>
      <c r="F138" s="9"/>
      <c r="G138" s="9"/>
      <c r="H138" s="7"/>
      <c r="I138" s="7"/>
      <c r="J138" s="7"/>
      <c r="K138" s="7"/>
      <c r="L138" s="4"/>
      <c r="M138" s="4"/>
      <c r="N138" s="4"/>
      <c r="O138" s="4"/>
      <c r="P138" s="4"/>
    </row>
    <row r="139" spans="1:16">
      <c r="A139" s="4"/>
      <c r="B139" s="5"/>
      <c r="C139" s="5"/>
      <c r="D139" s="7"/>
      <c r="E139" s="9"/>
      <c r="F139" s="9"/>
      <c r="G139" s="9"/>
      <c r="H139" s="7"/>
      <c r="I139" s="7"/>
      <c r="J139" s="7"/>
      <c r="K139" s="7"/>
      <c r="L139" s="4"/>
      <c r="M139" s="4"/>
      <c r="N139" s="4"/>
      <c r="O139" s="4"/>
      <c r="P139" s="4"/>
    </row>
    <row r="140" spans="1:16">
      <c r="A140" s="4"/>
      <c r="B140" s="5"/>
      <c r="C140" s="5"/>
      <c r="D140" s="7"/>
      <c r="E140" s="9"/>
      <c r="F140" s="9"/>
      <c r="G140" s="9"/>
      <c r="H140" s="7"/>
      <c r="I140" s="7"/>
      <c r="J140" s="7"/>
      <c r="K140" s="7"/>
      <c r="L140" s="4"/>
      <c r="M140" s="4"/>
      <c r="N140" s="4"/>
      <c r="O140" s="4"/>
      <c r="P140" s="4"/>
    </row>
    <row r="141" spans="1:16">
      <c r="A141" s="4"/>
      <c r="B141" s="5"/>
      <c r="C141" s="5"/>
      <c r="D141" s="7"/>
      <c r="E141" s="9"/>
      <c r="F141" s="9"/>
      <c r="G141" s="9"/>
      <c r="H141" s="7"/>
      <c r="I141" s="7"/>
      <c r="J141" s="7"/>
      <c r="K141" s="7"/>
      <c r="L141" s="4"/>
      <c r="M141" s="4"/>
      <c r="N141" s="4"/>
      <c r="O141" s="4"/>
      <c r="P141" s="4"/>
    </row>
    <row r="142" spans="1:16">
      <c r="A142" s="4"/>
      <c r="B142" s="5"/>
      <c r="C142" s="5"/>
      <c r="D142" s="7"/>
      <c r="E142" s="9"/>
      <c r="F142" s="9"/>
      <c r="G142" s="9"/>
      <c r="H142" s="7"/>
      <c r="I142" s="7"/>
      <c r="J142" s="7"/>
      <c r="K142" s="7"/>
      <c r="L142" s="4"/>
      <c r="M142" s="4"/>
      <c r="N142" s="4"/>
      <c r="O142" s="4"/>
      <c r="P142" s="4"/>
    </row>
    <row r="143" spans="1:16">
      <c r="A143" s="4"/>
      <c r="B143" s="5"/>
      <c r="C143" s="5"/>
      <c r="D143" s="7"/>
      <c r="E143" s="9"/>
      <c r="F143" s="9"/>
      <c r="G143" s="9"/>
      <c r="H143" s="7"/>
      <c r="I143" s="7"/>
      <c r="J143" s="7"/>
      <c r="K143" s="7"/>
      <c r="L143" s="4"/>
      <c r="M143" s="4"/>
      <c r="N143" s="4"/>
      <c r="O143" s="4"/>
      <c r="P143" s="4"/>
    </row>
    <row r="144" spans="1:16">
      <c r="A144" s="4"/>
      <c r="B144" s="5"/>
      <c r="C144" s="5"/>
      <c r="D144" s="7"/>
      <c r="E144" s="9"/>
      <c r="F144" s="9"/>
      <c r="G144" s="9"/>
      <c r="H144" s="7"/>
      <c r="I144" s="7"/>
      <c r="J144" s="7"/>
      <c r="K144" s="7"/>
      <c r="L144" s="4"/>
      <c r="M144" s="4"/>
      <c r="N144" s="4"/>
      <c r="O144" s="4"/>
      <c r="P144" s="4"/>
    </row>
    <row r="145" spans="1:16">
      <c r="A145" s="4"/>
      <c r="B145" s="5"/>
      <c r="C145" s="5"/>
      <c r="D145" s="7"/>
      <c r="E145" s="9"/>
      <c r="F145" s="9"/>
      <c r="G145" s="9"/>
      <c r="H145" s="7"/>
      <c r="I145" s="7"/>
      <c r="J145" s="7"/>
      <c r="K145" s="7"/>
      <c r="L145" s="4"/>
      <c r="M145" s="4"/>
      <c r="N145" s="4"/>
      <c r="O145" s="4"/>
      <c r="P145" s="4"/>
    </row>
    <row r="146" spans="1:16">
      <c r="A146" s="4"/>
      <c r="B146" s="5"/>
      <c r="C146" s="5"/>
      <c r="D146" s="7"/>
      <c r="E146" s="9"/>
      <c r="F146" s="9"/>
      <c r="G146" s="9"/>
      <c r="H146" s="7"/>
      <c r="I146" s="7"/>
      <c r="J146" s="7"/>
      <c r="K146" s="7"/>
      <c r="L146" s="4"/>
      <c r="M146" s="4"/>
      <c r="N146" s="4"/>
      <c r="O146" s="4"/>
      <c r="P146" s="4"/>
    </row>
    <row r="147" spans="1:16">
      <c r="A147" s="4"/>
      <c r="B147" s="5"/>
      <c r="C147" s="5"/>
      <c r="D147" s="7"/>
      <c r="E147" s="9"/>
      <c r="F147" s="9"/>
      <c r="G147" s="9"/>
      <c r="H147" s="7"/>
      <c r="I147" s="7"/>
      <c r="J147" s="7"/>
      <c r="K147" s="7"/>
      <c r="L147" s="4"/>
      <c r="M147" s="4"/>
      <c r="N147" s="4"/>
      <c r="O147" s="4"/>
      <c r="P147" s="4"/>
    </row>
    <row r="148" spans="1:16">
      <c r="A148" s="4"/>
      <c r="B148" s="5"/>
      <c r="C148" s="5"/>
      <c r="D148" s="7"/>
      <c r="E148" s="9"/>
      <c r="F148" s="9"/>
      <c r="G148" s="9"/>
      <c r="H148" s="7"/>
      <c r="I148" s="7"/>
      <c r="J148" s="7"/>
      <c r="K148" s="7"/>
      <c r="L148" s="4"/>
      <c r="M148" s="4"/>
      <c r="N148" s="4"/>
      <c r="O148" s="4"/>
      <c r="P148" s="4"/>
    </row>
    <row r="149" spans="1:16">
      <c r="A149" s="4"/>
      <c r="B149" s="5"/>
      <c r="C149" s="5"/>
      <c r="D149" s="7"/>
      <c r="E149" s="9"/>
      <c r="F149" s="9"/>
      <c r="G149" s="9"/>
      <c r="H149" s="7"/>
      <c r="I149" s="7"/>
      <c r="J149" s="7"/>
      <c r="K149" s="7"/>
      <c r="L149" s="4"/>
      <c r="M149" s="4"/>
      <c r="N149" s="4"/>
      <c r="O149" s="4"/>
      <c r="P149" s="4"/>
    </row>
    <row r="150" spans="1:16">
      <c r="A150" s="4"/>
      <c r="B150" s="5"/>
      <c r="C150" s="5"/>
      <c r="D150" s="7"/>
      <c r="E150" s="9"/>
      <c r="F150" s="9"/>
      <c r="G150" s="9"/>
      <c r="H150" s="7"/>
      <c r="I150" s="7"/>
      <c r="J150" s="7"/>
      <c r="K150" s="7"/>
      <c r="L150" s="4"/>
      <c r="M150" s="4"/>
      <c r="N150" s="4"/>
      <c r="O150" s="4"/>
      <c r="P150" s="4"/>
    </row>
    <row r="151" spans="1:16">
      <c r="A151" s="4"/>
      <c r="B151" s="5"/>
      <c r="C151" s="5"/>
      <c r="D151" s="7"/>
      <c r="E151" s="9"/>
      <c r="F151" s="9"/>
      <c r="G151" s="9"/>
      <c r="H151" s="7"/>
      <c r="I151" s="7"/>
      <c r="J151" s="7"/>
      <c r="K151" s="7"/>
      <c r="L151" s="4"/>
      <c r="M151" s="4"/>
      <c r="N151" s="4"/>
      <c r="O151" s="4"/>
      <c r="P151" s="4"/>
    </row>
    <row r="152" spans="1:16">
      <c r="A152" s="4"/>
      <c r="B152" s="5"/>
      <c r="C152" s="5"/>
      <c r="D152" s="7"/>
      <c r="E152" s="9"/>
      <c r="F152" s="9"/>
      <c r="G152" s="9"/>
      <c r="H152" s="7"/>
      <c r="I152" s="7"/>
      <c r="J152" s="7"/>
      <c r="K152" s="7"/>
      <c r="L152" s="4"/>
      <c r="M152" s="4"/>
      <c r="N152" s="4"/>
      <c r="O152" s="4"/>
      <c r="P152" s="4"/>
    </row>
    <row r="153" spans="1:16">
      <c r="A153" s="4"/>
      <c r="B153" s="5"/>
      <c r="C153" s="5"/>
      <c r="D153" s="7"/>
      <c r="E153" s="9"/>
      <c r="F153" s="9"/>
      <c r="G153" s="9"/>
      <c r="H153" s="7"/>
      <c r="I153" s="7"/>
      <c r="J153" s="7"/>
      <c r="K153" s="7"/>
      <c r="L153" s="4"/>
      <c r="M153" s="4"/>
      <c r="N153" s="4"/>
      <c r="O153" s="4"/>
      <c r="P153" s="4"/>
    </row>
    <row r="154" spans="1:16">
      <c r="A154" s="4"/>
      <c r="B154" s="5"/>
      <c r="C154" s="5"/>
      <c r="D154" s="7"/>
      <c r="E154" s="9"/>
      <c r="F154" s="9"/>
      <c r="G154" s="9"/>
      <c r="H154" s="7"/>
      <c r="I154" s="7"/>
      <c r="J154" s="7"/>
      <c r="K154" s="7"/>
      <c r="L154" s="4"/>
      <c r="M154" s="4"/>
      <c r="N154" s="4"/>
      <c r="O154" s="4"/>
      <c r="P154" s="4"/>
    </row>
    <row r="155" spans="1:16">
      <c r="A155" s="4"/>
      <c r="B155" s="5"/>
      <c r="C155" s="5"/>
      <c r="D155" s="7"/>
      <c r="E155" s="9"/>
      <c r="F155" s="9"/>
      <c r="G155" s="9"/>
      <c r="H155" s="7"/>
      <c r="I155" s="7"/>
      <c r="J155" s="7"/>
      <c r="K155" s="7"/>
      <c r="L155" s="4"/>
      <c r="M155" s="4"/>
      <c r="N155" s="4"/>
      <c r="O155" s="4"/>
      <c r="P155" s="4"/>
    </row>
    <row r="156" spans="1:16">
      <c r="A156" s="4"/>
      <c r="B156" s="5"/>
      <c r="C156" s="5"/>
      <c r="D156" s="7"/>
      <c r="E156" s="9"/>
      <c r="F156" s="9"/>
      <c r="G156" s="9"/>
      <c r="H156" s="7"/>
      <c r="I156" s="7"/>
      <c r="J156" s="7"/>
      <c r="K156" s="7"/>
      <c r="L156" s="4"/>
      <c r="M156" s="4"/>
      <c r="N156" s="4"/>
      <c r="O156" s="4"/>
      <c r="P156" s="4"/>
    </row>
    <row r="157" spans="1:16">
      <c r="A157" s="4"/>
      <c r="B157" s="5"/>
      <c r="C157" s="5"/>
      <c r="D157" s="7"/>
      <c r="E157" s="9"/>
      <c r="F157" s="9"/>
      <c r="G157" s="9"/>
      <c r="H157" s="7"/>
      <c r="I157" s="7"/>
      <c r="J157" s="7"/>
      <c r="K157" s="7"/>
      <c r="L157" s="4"/>
      <c r="M157" s="4"/>
      <c r="N157" s="4"/>
      <c r="O157" s="4"/>
      <c r="P157" s="4"/>
    </row>
    <row r="158" spans="1:16">
      <c r="A158" s="4"/>
      <c r="B158" s="5"/>
      <c r="C158" s="5"/>
      <c r="D158" s="7"/>
      <c r="E158" s="9"/>
      <c r="F158" s="9"/>
      <c r="G158" s="9"/>
      <c r="H158" s="7"/>
      <c r="I158" s="7"/>
      <c r="J158" s="7"/>
      <c r="K158" s="7"/>
      <c r="L158" s="4"/>
      <c r="M158" s="4"/>
      <c r="N158" s="4"/>
      <c r="O158" s="4"/>
      <c r="P158" s="4"/>
    </row>
    <row r="159" spans="1:16">
      <c r="A159" s="4"/>
      <c r="B159" s="5"/>
      <c r="C159" s="5"/>
      <c r="D159" s="7"/>
      <c r="E159" s="9"/>
      <c r="F159" s="9"/>
      <c r="G159" s="9"/>
      <c r="H159" s="7"/>
      <c r="I159" s="7"/>
      <c r="J159" s="7"/>
      <c r="K159" s="7"/>
      <c r="L159" s="4"/>
      <c r="M159" s="4"/>
      <c r="N159" s="4"/>
      <c r="O159" s="4"/>
      <c r="P159" s="4"/>
    </row>
    <row r="160" spans="1:16">
      <c r="A160" s="4"/>
      <c r="B160" s="5"/>
      <c r="C160" s="5"/>
      <c r="D160" s="7"/>
      <c r="E160" s="9"/>
      <c r="F160" s="9"/>
      <c r="G160" s="9"/>
      <c r="H160" s="7"/>
      <c r="I160" s="7"/>
      <c r="J160" s="7"/>
      <c r="K160" s="7"/>
      <c r="L160" s="4"/>
      <c r="M160" s="4"/>
      <c r="N160" s="4"/>
      <c r="O160" s="4"/>
      <c r="P160" s="4"/>
    </row>
    <row r="161" spans="1:16">
      <c r="A161" s="4"/>
      <c r="B161" s="5"/>
      <c r="C161" s="5"/>
      <c r="D161" s="7"/>
      <c r="E161" s="9"/>
      <c r="F161" s="9"/>
      <c r="G161" s="9"/>
      <c r="H161" s="7"/>
      <c r="I161" s="7"/>
      <c r="J161" s="7"/>
      <c r="K161" s="7"/>
      <c r="L161" s="4"/>
      <c r="M161" s="4"/>
      <c r="N161" s="4"/>
      <c r="O161" s="4"/>
      <c r="P161" s="4"/>
    </row>
    <row r="162" spans="1:16">
      <c r="A162" s="4"/>
      <c r="B162" s="5"/>
      <c r="C162" s="5"/>
      <c r="D162" s="7"/>
      <c r="E162" s="9"/>
      <c r="F162" s="9"/>
      <c r="G162" s="9"/>
      <c r="H162" s="7"/>
      <c r="I162" s="7"/>
      <c r="J162" s="7"/>
      <c r="K162" s="7"/>
      <c r="L162" s="4"/>
      <c r="M162" s="4"/>
      <c r="N162" s="4"/>
      <c r="O162" s="4"/>
      <c r="P162" s="4"/>
    </row>
    <row r="163" spans="1:16">
      <c r="A163" s="4"/>
      <c r="B163" s="5"/>
      <c r="C163" s="5"/>
      <c r="D163" s="7"/>
      <c r="E163" s="9"/>
      <c r="F163" s="9"/>
      <c r="G163" s="9"/>
      <c r="H163" s="7"/>
      <c r="I163" s="7"/>
      <c r="J163" s="7"/>
      <c r="K163" s="7"/>
      <c r="L163" s="4"/>
      <c r="M163" s="4"/>
      <c r="N163" s="4"/>
      <c r="O163" s="4"/>
      <c r="P163" s="4"/>
    </row>
    <row r="164" spans="1:16">
      <c r="A164" s="4"/>
      <c r="B164" s="5"/>
      <c r="C164" s="5"/>
      <c r="D164" s="7"/>
      <c r="E164" s="9"/>
      <c r="F164" s="9"/>
      <c r="G164" s="9"/>
      <c r="H164" s="7"/>
      <c r="I164" s="7"/>
      <c r="J164" s="7"/>
      <c r="K164" s="7"/>
      <c r="L164" s="4"/>
      <c r="M164" s="4"/>
      <c r="N164" s="4"/>
      <c r="O164" s="4"/>
      <c r="P164" s="4"/>
    </row>
    <row r="165" spans="1:16">
      <c r="A165" s="4"/>
      <c r="B165" s="5"/>
      <c r="C165" s="5"/>
      <c r="D165" s="7"/>
      <c r="E165" s="9"/>
      <c r="F165" s="9"/>
      <c r="G165" s="9"/>
      <c r="H165" s="7"/>
      <c r="I165" s="7"/>
      <c r="J165" s="7"/>
      <c r="K165" s="7"/>
      <c r="L165" s="4"/>
      <c r="M165" s="4"/>
      <c r="N165" s="4"/>
      <c r="O165" s="4"/>
      <c r="P165" s="4"/>
    </row>
    <row r="166" spans="1:16">
      <c r="A166" s="4"/>
      <c r="B166" s="5"/>
      <c r="C166" s="5"/>
      <c r="D166" s="7"/>
      <c r="E166" s="9"/>
      <c r="F166" s="9"/>
      <c r="G166" s="9"/>
      <c r="H166" s="7"/>
      <c r="I166" s="7"/>
      <c r="J166" s="7"/>
      <c r="K166" s="7"/>
      <c r="L166" s="4"/>
      <c r="M166" s="4"/>
      <c r="N166" s="4"/>
      <c r="O166" s="4"/>
      <c r="P166" s="4"/>
    </row>
    <row r="167" spans="1:16">
      <c r="A167" s="4"/>
      <c r="B167" s="5"/>
      <c r="C167" s="5"/>
      <c r="D167" s="7"/>
      <c r="E167" s="9"/>
      <c r="F167" s="9"/>
      <c r="G167" s="9"/>
      <c r="H167" s="7"/>
      <c r="I167" s="7"/>
      <c r="J167" s="7"/>
      <c r="K167" s="7"/>
      <c r="L167" s="4"/>
      <c r="M167" s="4"/>
      <c r="N167" s="4"/>
      <c r="O167" s="4"/>
      <c r="P167" s="4"/>
    </row>
    <row r="168" spans="1:16">
      <c r="A168" s="4"/>
      <c r="B168" s="5"/>
      <c r="C168" s="5"/>
      <c r="D168" s="7"/>
      <c r="E168" s="9"/>
      <c r="F168" s="9"/>
      <c r="G168" s="9"/>
      <c r="H168" s="7"/>
      <c r="I168" s="7"/>
      <c r="J168" s="7"/>
      <c r="K168" s="7"/>
      <c r="L168" s="4"/>
      <c r="M168" s="4"/>
      <c r="N168" s="4"/>
      <c r="O168" s="4"/>
      <c r="P168" s="4"/>
    </row>
    <row r="169" spans="1:16">
      <c r="A169" s="4"/>
      <c r="B169" s="5"/>
      <c r="C169" s="5"/>
      <c r="D169" s="7"/>
      <c r="E169" s="9"/>
      <c r="F169" s="9"/>
      <c r="G169" s="9"/>
      <c r="H169" s="7"/>
      <c r="I169" s="7"/>
      <c r="J169" s="7"/>
      <c r="K169" s="7"/>
      <c r="L169" s="4"/>
      <c r="M169" s="4"/>
      <c r="N169" s="4"/>
      <c r="O169" s="4"/>
      <c r="P169" s="4"/>
    </row>
    <row r="170" spans="1:16">
      <c r="A170" s="4"/>
      <c r="B170" s="5"/>
      <c r="C170" s="5"/>
      <c r="D170" s="7"/>
      <c r="E170" s="9"/>
      <c r="F170" s="9"/>
      <c r="G170" s="9"/>
      <c r="H170" s="7"/>
      <c r="I170" s="7"/>
      <c r="J170" s="7"/>
      <c r="K170" s="7"/>
      <c r="L170" s="4"/>
      <c r="M170" s="4"/>
      <c r="N170" s="4"/>
      <c r="O170" s="4"/>
      <c r="P170" s="4"/>
    </row>
    <row r="171" spans="1:16">
      <c r="A171" s="4"/>
      <c r="B171" s="5"/>
      <c r="C171" s="5"/>
      <c r="D171" s="7"/>
      <c r="E171" s="9"/>
      <c r="F171" s="9"/>
      <c r="G171" s="9"/>
      <c r="H171" s="7"/>
      <c r="I171" s="7"/>
      <c r="J171" s="7"/>
      <c r="K171" s="7"/>
      <c r="L171" s="4"/>
      <c r="M171" s="4"/>
      <c r="N171" s="4"/>
      <c r="O171" s="4"/>
      <c r="P171" s="4"/>
    </row>
    <row r="172" spans="1:16">
      <c r="A172" s="4"/>
      <c r="B172" s="5"/>
      <c r="C172" s="5"/>
      <c r="D172" s="7"/>
      <c r="E172" s="9"/>
      <c r="F172" s="9"/>
      <c r="G172" s="9"/>
      <c r="H172" s="7"/>
      <c r="I172" s="7"/>
      <c r="J172" s="7"/>
      <c r="K172" s="7"/>
      <c r="L172" s="4"/>
      <c r="M172" s="4"/>
      <c r="N172" s="4"/>
      <c r="O172" s="4"/>
      <c r="P172" s="4"/>
    </row>
    <row r="173" spans="1:16">
      <c r="A173" s="4"/>
      <c r="B173" s="5"/>
      <c r="C173" s="5"/>
      <c r="D173" s="7"/>
      <c r="E173" s="9"/>
      <c r="F173" s="9"/>
      <c r="G173" s="9"/>
      <c r="H173" s="7"/>
      <c r="I173" s="7"/>
      <c r="J173" s="7"/>
      <c r="K173" s="7"/>
      <c r="L173" s="4"/>
      <c r="M173" s="4"/>
      <c r="N173" s="4"/>
      <c r="O173" s="4"/>
      <c r="P173" s="4"/>
    </row>
    <row r="174" spans="1:16">
      <c r="A174" s="4"/>
      <c r="B174" s="5"/>
      <c r="C174" s="5"/>
      <c r="D174" s="7"/>
      <c r="E174" s="9"/>
      <c r="F174" s="9"/>
      <c r="G174" s="9"/>
      <c r="H174" s="7"/>
      <c r="I174" s="7"/>
      <c r="J174" s="7"/>
      <c r="K174" s="7"/>
      <c r="L174" s="4"/>
      <c r="M174" s="4"/>
      <c r="N174" s="4"/>
      <c r="O174" s="4"/>
      <c r="P174" s="4"/>
    </row>
    <row r="175" spans="1:16">
      <c r="A175" s="4"/>
      <c r="B175" s="5"/>
      <c r="C175" s="5"/>
      <c r="D175" s="7"/>
      <c r="E175" s="9"/>
      <c r="F175" s="9"/>
      <c r="G175" s="9"/>
      <c r="H175" s="7"/>
      <c r="I175" s="7"/>
      <c r="J175" s="7"/>
      <c r="K175" s="7"/>
      <c r="L175" s="4"/>
      <c r="M175" s="4"/>
      <c r="N175" s="4"/>
      <c r="O175" s="4"/>
      <c r="P175" s="4"/>
    </row>
    <row r="176" spans="1:16">
      <c r="A176" s="4"/>
      <c r="B176" s="5"/>
      <c r="C176" s="5"/>
      <c r="D176" s="7"/>
      <c r="E176" s="9"/>
      <c r="F176" s="9"/>
      <c r="G176" s="9"/>
      <c r="H176" s="7"/>
      <c r="I176" s="7"/>
      <c r="J176" s="7"/>
      <c r="K176" s="7"/>
      <c r="L176" s="4"/>
      <c r="M176" s="4"/>
      <c r="N176" s="4"/>
      <c r="O176" s="4"/>
      <c r="P176" s="4"/>
    </row>
    <row r="177" spans="1:16">
      <c r="A177" s="4"/>
      <c r="B177" s="5"/>
      <c r="C177" s="5"/>
      <c r="D177" s="7"/>
      <c r="E177" s="9"/>
      <c r="F177" s="9"/>
      <c r="G177" s="9"/>
      <c r="H177" s="7"/>
      <c r="I177" s="7"/>
      <c r="J177" s="7"/>
      <c r="K177" s="7"/>
      <c r="L177" s="4"/>
      <c r="M177" s="4"/>
      <c r="N177" s="4"/>
      <c r="O177" s="4"/>
      <c r="P177" s="4"/>
    </row>
    <row r="178" spans="1:16">
      <c r="A178" s="4"/>
      <c r="B178" s="5"/>
      <c r="C178" s="5"/>
      <c r="D178" s="7"/>
      <c r="E178" s="9"/>
      <c r="F178" s="9"/>
      <c r="G178" s="9"/>
      <c r="H178" s="7"/>
      <c r="I178" s="7"/>
      <c r="J178" s="7"/>
      <c r="K178" s="7"/>
      <c r="L178" s="4"/>
      <c r="M178" s="4"/>
      <c r="N178" s="4"/>
      <c r="O178" s="4"/>
      <c r="P178" s="4"/>
    </row>
    <row r="179" spans="1:16">
      <c r="A179" s="4"/>
      <c r="B179" s="5"/>
      <c r="C179" s="5"/>
      <c r="D179" s="7"/>
      <c r="E179" s="9"/>
      <c r="F179" s="9"/>
      <c r="G179" s="9"/>
      <c r="H179" s="7"/>
      <c r="I179" s="7"/>
      <c r="J179" s="7"/>
      <c r="K179" s="7"/>
      <c r="L179" s="4"/>
      <c r="M179" s="4"/>
      <c r="N179" s="4"/>
      <c r="O179" s="4"/>
      <c r="P179" s="4"/>
    </row>
    <row r="180" spans="1:16">
      <c r="A180" s="4"/>
      <c r="B180" s="5"/>
      <c r="C180" s="5"/>
      <c r="D180" s="7"/>
      <c r="E180" s="9"/>
      <c r="F180" s="9"/>
      <c r="G180" s="9"/>
      <c r="H180" s="7"/>
      <c r="I180" s="7"/>
      <c r="J180" s="7"/>
      <c r="K180" s="7"/>
      <c r="L180" s="4"/>
      <c r="M180" s="4"/>
      <c r="N180" s="4"/>
      <c r="O180" s="4"/>
      <c r="P180" s="4"/>
    </row>
    <row r="181" spans="1:16">
      <c r="A181" s="4"/>
      <c r="B181" s="5"/>
      <c r="C181" s="5"/>
      <c r="D181" s="7"/>
      <c r="E181" s="9"/>
      <c r="F181" s="9"/>
      <c r="G181" s="9"/>
      <c r="H181" s="7"/>
      <c r="I181" s="7"/>
      <c r="J181" s="7"/>
      <c r="K181" s="7"/>
      <c r="L181" s="4"/>
      <c r="M181" s="4"/>
      <c r="N181" s="4"/>
      <c r="O181" s="4"/>
      <c r="P181" s="4"/>
    </row>
    <row r="182" spans="1:16">
      <c r="A182" s="4"/>
      <c r="B182" s="5"/>
      <c r="C182" s="5"/>
      <c r="D182" s="7"/>
      <c r="E182" s="9"/>
      <c r="F182" s="9"/>
      <c r="G182" s="9"/>
      <c r="H182" s="7"/>
      <c r="I182" s="7"/>
      <c r="J182" s="7"/>
      <c r="K182" s="7"/>
      <c r="L182" s="4"/>
      <c r="M182" s="4"/>
      <c r="N182" s="4"/>
      <c r="O182" s="4"/>
      <c r="P182" s="4"/>
    </row>
    <row r="183" spans="1:16">
      <c r="A183" s="4"/>
      <c r="B183" s="5"/>
      <c r="C183" s="5"/>
      <c r="D183" s="7"/>
      <c r="E183" s="9"/>
      <c r="F183" s="9"/>
      <c r="G183" s="9"/>
      <c r="H183" s="7"/>
      <c r="I183" s="7"/>
      <c r="J183" s="7"/>
      <c r="K183" s="7"/>
      <c r="L183" s="4"/>
      <c r="M183" s="4"/>
      <c r="N183" s="4"/>
      <c r="O183" s="4"/>
      <c r="P183" s="4"/>
    </row>
    <row r="184" spans="1:16">
      <c r="A184" s="4"/>
      <c r="B184" s="5"/>
      <c r="C184" s="5"/>
      <c r="D184" s="7"/>
      <c r="E184" s="9"/>
      <c r="F184" s="9"/>
      <c r="G184" s="9"/>
      <c r="H184" s="7"/>
      <c r="I184" s="7"/>
      <c r="J184" s="7"/>
      <c r="K184" s="7"/>
      <c r="L184" s="4"/>
      <c r="M184" s="4"/>
      <c r="N184" s="4"/>
      <c r="O184" s="4"/>
      <c r="P184" s="4"/>
    </row>
    <row r="185" spans="1:16">
      <c r="A185" s="4"/>
      <c r="B185" s="5"/>
      <c r="C185" s="5"/>
      <c r="D185" s="7"/>
      <c r="E185" s="9"/>
      <c r="F185" s="9"/>
      <c r="G185" s="9"/>
      <c r="H185" s="7"/>
      <c r="I185" s="7"/>
      <c r="J185" s="7"/>
      <c r="K185" s="7"/>
      <c r="L185" s="4"/>
      <c r="M185" s="4"/>
      <c r="N185" s="4"/>
      <c r="O185" s="4"/>
      <c r="P185" s="4"/>
    </row>
    <row r="186" spans="1:16">
      <c r="A186" s="4"/>
      <c r="B186" s="5"/>
      <c r="C186" s="5"/>
      <c r="D186" s="7"/>
      <c r="E186" s="9"/>
      <c r="F186" s="9"/>
      <c r="G186" s="9"/>
      <c r="H186" s="7"/>
      <c r="I186" s="7"/>
      <c r="J186" s="7"/>
      <c r="K186" s="7"/>
      <c r="L186" s="4"/>
      <c r="M186" s="4"/>
      <c r="N186" s="4"/>
      <c r="O186" s="4"/>
      <c r="P186" s="4"/>
    </row>
    <row r="187" spans="1:16">
      <c r="A187" s="4"/>
      <c r="B187" s="5"/>
      <c r="C187" s="5"/>
      <c r="D187" s="7"/>
      <c r="E187" s="9"/>
      <c r="F187" s="9"/>
      <c r="G187" s="9"/>
      <c r="H187" s="7"/>
      <c r="I187" s="7"/>
      <c r="J187" s="7"/>
      <c r="K187" s="7"/>
      <c r="L187" s="4"/>
      <c r="M187" s="4"/>
      <c r="N187" s="4"/>
      <c r="O187" s="4"/>
      <c r="P187" s="4"/>
    </row>
    <row r="188" spans="1:16">
      <c r="A188" s="4"/>
      <c r="B188" s="5"/>
      <c r="C188" s="5"/>
      <c r="D188" s="7"/>
      <c r="E188" s="9"/>
      <c r="F188" s="9"/>
      <c r="G188" s="9"/>
      <c r="H188" s="7"/>
      <c r="I188" s="7"/>
      <c r="J188" s="7"/>
      <c r="K188" s="7"/>
      <c r="L188" s="4"/>
      <c r="M188" s="4"/>
      <c r="N188" s="4"/>
      <c r="O188" s="4"/>
      <c r="P188" s="4"/>
    </row>
    <row r="189" spans="1:16">
      <c r="A189" s="4"/>
      <c r="B189" s="5"/>
      <c r="C189" s="5"/>
      <c r="D189" s="7"/>
      <c r="E189" s="9"/>
      <c r="F189" s="9"/>
      <c r="G189" s="9"/>
      <c r="H189" s="7"/>
      <c r="I189" s="7"/>
      <c r="J189" s="7"/>
      <c r="K189" s="7"/>
      <c r="L189" s="4"/>
      <c r="M189" s="4"/>
      <c r="N189" s="4"/>
      <c r="O189" s="4"/>
      <c r="P189" s="4"/>
    </row>
    <row r="190" spans="1:16">
      <c r="A190" s="4"/>
      <c r="B190" s="5"/>
      <c r="C190" s="5"/>
      <c r="D190" s="7"/>
      <c r="E190" s="9"/>
      <c r="F190" s="9"/>
      <c r="G190" s="9"/>
      <c r="H190" s="7"/>
      <c r="I190" s="7"/>
      <c r="J190" s="7"/>
      <c r="K190" s="7"/>
      <c r="L190" s="4"/>
      <c r="M190" s="4"/>
      <c r="N190" s="4"/>
      <c r="O190" s="4"/>
      <c r="P190" s="4"/>
    </row>
    <row r="191" spans="1:16">
      <c r="A191" s="4"/>
      <c r="B191" s="5"/>
      <c r="C191" s="5"/>
      <c r="D191" s="7"/>
      <c r="E191" s="9"/>
      <c r="F191" s="9"/>
      <c r="G191" s="9"/>
      <c r="H191" s="7"/>
      <c r="I191" s="7"/>
      <c r="J191" s="7"/>
      <c r="K191" s="7"/>
      <c r="L191" s="4"/>
      <c r="M191" s="4"/>
      <c r="N191" s="4"/>
      <c r="O191" s="4"/>
      <c r="P191" s="4"/>
    </row>
    <row r="192" spans="1:16">
      <c r="A192" s="4"/>
      <c r="B192" s="5"/>
      <c r="C192" s="5"/>
      <c r="D192" s="7"/>
      <c r="E192" s="9"/>
      <c r="F192" s="9"/>
      <c r="G192" s="9"/>
      <c r="H192" s="7"/>
      <c r="I192" s="7"/>
      <c r="J192" s="7"/>
      <c r="K192" s="7"/>
      <c r="L192" s="4"/>
      <c r="M192" s="4"/>
      <c r="N192" s="4"/>
      <c r="O192" s="4"/>
      <c r="P192" s="4"/>
    </row>
    <row r="193" spans="1:16">
      <c r="A193" s="4"/>
      <c r="B193" s="5"/>
      <c r="C193" s="5"/>
      <c r="D193" s="7"/>
      <c r="E193" s="9"/>
      <c r="F193" s="9"/>
      <c r="G193" s="9"/>
      <c r="H193" s="7"/>
      <c r="I193" s="7"/>
      <c r="J193" s="7"/>
      <c r="K193" s="7"/>
      <c r="L193" s="4"/>
      <c r="M193" s="4"/>
      <c r="N193" s="4"/>
      <c r="O193" s="4"/>
      <c r="P193" s="4"/>
    </row>
    <row r="194" spans="1:16">
      <c r="A194" s="4"/>
      <c r="B194" s="5"/>
      <c r="C194" s="5"/>
      <c r="D194" s="7"/>
      <c r="E194" s="9"/>
      <c r="F194" s="9"/>
      <c r="G194" s="9"/>
      <c r="H194" s="7"/>
      <c r="I194" s="7"/>
      <c r="J194" s="7"/>
      <c r="K194" s="7"/>
      <c r="L194" s="4"/>
      <c r="M194" s="4"/>
      <c r="N194" s="4"/>
      <c r="O194" s="4"/>
      <c r="P194" s="4"/>
    </row>
    <row r="195" spans="1:16">
      <c r="A195" s="4"/>
      <c r="B195" s="5"/>
      <c r="C195" s="5"/>
      <c r="D195" s="7"/>
      <c r="E195" s="9"/>
      <c r="F195" s="9"/>
      <c r="G195" s="9"/>
      <c r="H195" s="7"/>
      <c r="I195" s="7"/>
      <c r="J195" s="7"/>
      <c r="K195" s="7"/>
      <c r="L195" s="4"/>
      <c r="M195" s="4"/>
      <c r="N195" s="4"/>
      <c r="O195" s="4"/>
      <c r="P195" s="4"/>
    </row>
    <row r="196" spans="1:16">
      <c r="A196" s="4"/>
      <c r="B196" s="5"/>
      <c r="C196" s="5"/>
      <c r="D196" s="7"/>
      <c r="E196" s="9"/>
      <c r="F196" s="9"/>
      <c r="G196" s="9"/>
      <c r="H196" s="7"/>
      <c r="I196" s="7"/>
      <c r="J196" s="7"/>
      <c r="K196" s="7"/>
      <c r="L196" s="4"/>
      <c r="M196" s="4"/>
      <c r="N196" s="4"/>
      <c r="O196" s="4"/>
      <c r="P196" s="4"/>
    </row>
    <row r="197" spans="1:16">
      <c r="A197" s="4"/>
      <c r="B197" s="5"/>
      <c r="C197" s="5"/>
      <c r="D197" s="7"/>
      <c r="E197" s="9"/>
      <c r="F197" s="9"/>
      <c r="G197" s="9"/>
      <c r="H197" s="7"/>
      <c r="I197" s="7"/>
      <c r="J197" s="7"/>
      <c r="K197" s="7"/>
      <c r="L197" s="4"/>
      <c r="M197" s="4"/>
      <c r="N197" s="4"/>
      <c r="O197" s="4"/>
      <c r="P197" s="4"/>
    </row>
    <row r="198" spans="1:16">
      <c r="A198" s="4"/>
      <c r="B198" s="5"/>
      <c r="C198" s="5"/>
      <c r="D198" s="7"/>
      <c r="E198" s="9"/>
      <c r="F198" s="9"/>
      <c r="G198" s="9"/>
      <c r="H198" s="7"/>
      <c r="I198" s="7"/>
      <c r="J198" s="7"/>
      <c r="K198" s="7"/>
      <c r="L198" s="4"/>
      <c r="M198" s="4"/>
      <c r="N198" s="4"/>
      <c r="O198" s="4"/>
      <c r="P198" s="4"/>
    </row>
    <row r="199" spans="1:16">
      <c r="A199" s="4"/>
      <c r="B199" s="5"/>
      <c r="C199" s="5"/>
      <c r="D199" s="7"/>
      <c r="E199" s="9"/>
      <c r="F199" s="9"/>
      <c r="G199" s="9"/>
      <c r="H199" s="7"/>
      <c r="I199" s="7"/>
      <c r="J199" s="7"/>
      <c r="K199" s="7"/>
      <c r="L199" s="4"/>
      <c r="M199" s="4"/>
      <c r="N199" s="4"/>
      <c r="O199" s="4"/>
      <c r="P199" s="4"/>
    </row>
    <row r="200" spans="1:16">
      <c r="A200" s="4"/>
      <c r="B200" s="5"/>
      <c r="C200" s="5"/>
      <c r="D200" s="7"/>
      <c r="E200" s="9"/>
      <c r="F200" s="9"/>
      <c r="G200" s="9"/>
      <c r="H200" s="7"/>
      <c r="I200" s="7"/>
      <c r="J200" s="7"/>
      <c r="K200" s="7"/>
      <c r="L200" s="4"/>
      <c r="M200" s="4"/>
      <c r="N200" s="4"/>
      <c r="O200" s="4"/>
      <c r="P200" s="4"/>
    </row>
    <row r="201" spans="1:16">
      <c r="A201" s="4"/>
      <c r="B201" s="5"/>
      <c r="C201" s="5"/>
      <c r="D201" s="7"/>
      <c r="E201" s="9"/>
      <c r="F201" s="9"/>
      <c r="G201" s="9"/>
      <c r="H201" s="7"/>
      <c r="I201" s="7"/>
      <c r="J201" s="7"/>
      <c r="K201" s="7"/>
      <c r="L201" s="4"/>
      <c r="M201" s="4"/>
      <c r="N201" s="4"/>
      <c r="O201" s="4"/>
      <c r="P201" s="4"/>
    </row>
    <row r="202" spans="1:16">
      <c r="A202" s="4"/>
      <c r="B202" s="5"/>
      <c r="C202" s="5"/>
      <c r="D202" s="7"/>
      <c r="E202" s="9"/>
      <c r="F202" s="9"/>
      <c r="G202" s="9"/>
      <c r="H202" s="7"/>
      <c r="I202" s="7"/>
      <c r="J202" s="7"/>
      <c r="K202" s="7"/>
      <c r="L202" s="4"/>
      <c r="M202" s="4"/>
      <c r="N202" s="4"/>
      <c r="O202" s="4"/>
      <c r="P202" s="4"/>
    </row>
    <row r="203" spans="1:16">
      <c r="A203" s="4"/>
      <c r="B203" s="5"/>
      <c r="C203" s="5"/>
      <c r="D203" s="7"/>
      <c r="E203" s="9"/>
      <c r="F203" s="9"/>
      <c r="G203" s="9"/>
      <c r="H203" s="7"/>
      <c r="I203" s="7"/>
      <c r="J203" s="7"/>
      <c r="K203" s="7"/>
      <c r="L203" s="4"/>
      <c r="M203" s="4"/>
      <c r="N203" s="4"/>
      <c r="O203" s="4"/>
      <c r="P203" s="4"/>
    </row>
    <row r="204" spans="1:16">
      <c r="A204" s="4"/>
      <c r="B204" s="5"/>
      <c r="C204" s="5"/>
      <c r="D204" s="7"/>
      <c r="E204" s="9"/>
      <c r="F204" s="9"/>
      <c r="G204" s="9"/>
      <c r="H204" s="7"/>
      <c r="I204" s="7"/>
      <c r="J204" s="7"/>
      <c r="K204" s="7"/>
      <c r="L204" s="4"/>
      <c r="M204" s="4"/>
      <c r="N204" s="4"/>
      <c r="O204" s="4"/>
      <c r="P204" s="4"/>
    </row>
    <row r="205" spans="1:16">
      <c r="A205" s="4"/>
      <c r="B205" s="5"/>
      <c r="C205" s="5"/>
      <c r="D205" s="7"/>
      <c r="E205" s="9"/>
      <c r="F205" s="9"/>
      <c r="G205" s="9"/>
      <c r="H205" s="7"/>
      <c r="I205" s="7"/>
      <c r="J205" s="7"/>
      <c r="K205" s="7"/>
      <c r="L205" s="4"/>
      <c r="M205" s="4"/>
      <c r="N205" s="4"/>
      <c r="O205" s="4"/>
      <c r="P205" s="4"/>
    </row>
    <row r="206" spans="1:16">
      <c r="A206" s="4"/>
      <c r="B206" s="5"/>
      <c r="C206" s="5"/>
      <c r="D206" s="7"/>
      <c r="E206" s="9"/>
      <c r="F206" s="9"/>
      <c r="G206" s="9"/>
      <c r="H206" s="7"/>
      <c r="I206" s="7"/>
      <c r="J206" s="7"/>
      <c r="K206" s="7"/>
      <c r="L206" s="4"/>
      <c r="M206" s="4"/>
      <c r="N206" s="4"/>
      <c r="O206" s="4"/>
      <c r="P206" s="4"/>
    </row>
    <row r="207" spans="1:16">
      <c r="A207" s="4"/>
      <c r="B207" s="5"/>
      <c r="C207" s="5"/>
      <c r="D207" s="7"/>
      <c r="E207" s="9"/>
      <c r="F207" s="9"/>
      <c r="G207" s="9"/>
      <c r="H207" s="7"/>
      <c r="I207" s="7"/>
      <c r="J207" s="7"/>
      <c r="K207" s="7"/>
      <c r="L207" s="4"/>
      <c r="M207" s="4"/>
      <c r="N207" s="4"/>
      <c r="O207" s="4"/>
      <c r="P207" s="4"/>
    </row>
    <row r="208" spans="1:16">
      <c r="A208" s="4"/>
      <c r="B208" s="5"/>
      <c r="C208" s="5"/>
      <c r="D208" s="7"/>
      <c r="E208" s="9"/>
      <c r="F208" s="9"/>
      <c r="G208" s="9"/>
      <c r="H208" s="7"/>
      <c r="I208" s="7"/>
      <c r="J208" s="7"/>
      <c r="K208" s="7"/>
      <c r="L208" s="4"/>
      <c r="M208" s="4"/>
      <c r="N208" s="4"/>
      <c r="O208" s="4"/>
      <c r="P208" s="4"/>
    </row>
    <row r="209" spans="1:16">
      <c r="A209" s="4"/>
      <c r="B209" s="5"/>
      <c r="C209" s="5"/>
      <c r="D209" s="7"/>
      <c r="E209" s="9"/>
      <c r="F209" s="9"/>
      <c r="G209" s="9"/>
      <c r="H209" s="7"/>
      <c r="I209" s="7"/>
      <c r="J209" s="7"/>
      <c r="K209" s="7"/>
      <c r="L209" s="4"/>
      <c r="M209" s="4"/>
      <c r="N209" s="4"/>
      <c r="O209" s="4"/>
      <c r="P209" s="4"/>
    </row>
    <row r="210" spans="1:16">
      <c r="A210" s="4"/>
      <c r="B210" s="5"/>
      <c r="C210" s="5"/>
      <c r="D210" s="7"/>
      <c r="E210" s="9"/>
      <c r="F210" s="9"/>
      <c r="G210" s="9"/>
      <c r="H210" s="7"/>
      <c r="I210" s="7"/>
      <c r="J210" s="7"/>
      <c r="K210" s="7"/>
      <c r="L210" s="4"/>
      <c r="M210" s="4"/>
      <c r="N210" s="4"/>
      <c r="O210" s="4"/>
      <c r="P210" s="4"/>
    </row>
    <row r="211" spans="1:16">
      <c r="A211" s="4"/>
      <c r="B211" s="5"/>
      <c r="C211" s="5"/>
      <c r="D211" s="7"/>
      <c r="E211" s="9"/>
      <c r="F211" s="9"/>
      <c r="G211" s="9"/>
      <c r="H211" s="7"/>
      <c r="I211" s="7"/>
      <c r="J211" s="7"/>
      <c r="K211" s="7"/>
      <c r="L211" s="4"/>
      <c r="M211" s="4"/>
      <c r="N211" s="4"/>
      <c r="O211" s="4"/>
      <c r="P211" s="4"/>
    </row>
    <row r="212" spans="1:16">
      <c r="A212" s="4"/>
      <c r="B212" s="5"/>
      <c r="C212" s="5"/>
      <c r="D212" s="7"/>
      <c r="E212" s="9"/>
      <c r="F212" s="9"/>
      <c r="G212" s="9"/>
      <c r="H212" s="7"/>
      <c r="I212" s="7"/>
      <c r="J212" s="7"/>
      <c r="K212" s="7"/>
      <c r="L212" s="4"/>
      <c r="M212" s="4"/>
      <c r="N212" s="4"/>
      <c r="O212" s="4"/>
      <c r="P212" s="4"/>
    </row>
    <row r="213" spans="1:16">
      <c r="A213" s="4"/>
      <c r="B213" s="5"/>
      <c r="C213" s="5"/>
      <c r="D213" s="7"/>
      <c r="E213" s="9"/>
      <c r="F213" s="9"/>
      <c r="G213" s="9"/>
      <c r="H213" s="7"/>
      <c r="I213" s="7"/>
      <c r="J213" s="7"/>
      <c r="K213" s="7"/>
      <c r="L213" s="4"/>
      <c r="M213" s="4"/>
      <c r="N213" s="4"/>
      <c r="O213" s="4"/>
      <c r="P213" s="4"/>
    </row>
    <row r="214" spans="1:16">
      <c r="A214" s="4"/>
      <c r="B214" s="5"/>
      <c r="C214" s="5"/>
      <c r="D214" s="7"/>
      <c r="E214" s="9"/>
      <c r="F214" s="9"/>
      <c r="G214" s="9"/>
      <c r="H214" s="7"/>
      <c r="I214" s="7"/>
      <c r="J214" s="7"/>
      <c r="K214" s="7"/>
      <c r="L214" s="4"/>
      <c r="M214" s="4"/>
      <c r="N214" s="4"/>
      <c r="O214" s="4"/>
      <c r="P214" s="4"/>
    </row>
    <row r="215" spans="1:16">
      <c r="A215" s="4"/>
      <c r="B215" s="5"/>
      <c r="C215" s="5"/>
      <c r="D215" s="7"/>
      <c r="E215" s="9"/>
      <c r="F215" s="9"/>
      <c r="G215" s="9"/>
      <c r="H215" s="7"/>
      <c r="I215" s="7"/>
      <c r="J215" s="7"/>
      <c r="K215" s="7"/>
      <c r="L215" s="4"/>
      <c r="M215" s="4"/>
      <c r="N215" s="4"/>
      <c r="O215" s="4"/>
      <c r="P215" s="4"/>
    </row>
    <row r="216" spans="1:16">
      <c r="A216" s="4"/>
      <c r="B216" s="5"/>
      <c r="C216" s="5"/>
      <c r="D216" s="7"/>
      <c r="E216" s="9"/>
      <c r="F216" s="9"/>
      <c r="G216" s="9"/>
      <c r="H216" s="7"/>
      <c r="I216" s="7"/>
      <c r="J216" s="7"/>
      <c r="K216" s="7"/>
      <c r="L216" s="4"/>
      <c r="M216" s="4"/>
      <c r="N216" s="4"/>
      <c r="O216" s="4"/>
      <c r="P216" s="4"/>
    </row>
    <row r="217" spans="1:16">
      <c r="A217" s="4"/>
      <c r="B217" s="5"/>
      <c r="C217" s="5"/>
      <c r="D217" s="7"/>
      <c r="E217" s="9"/>
      <c r="F217" s="9"/>
      <c r="G217" s="9"/>
      <c r="H217" s="7"/>
      <c r="I217" s="7"/>
      <c r="J217" s="7"/>
      <c r="K217" s="7"/>
      <c r="L217" s="4"/>
      <c r="M217" s="4"/>
      <c r="N217" s="4"/>
      <c r="O217" s="4"/>
      <c r="P217" s="4"/>
    </row>
    <row r="218" spans="1:16">
      <c r="A218" s="4"/>
      <c r="B218" s="5"/>
      <c r="C218" s="5"/>
      <c r="D218" s="7"/>
      <c r="E218" s="9"/>
      <c r="F218" s="9"/>
      <c r="G218" s="9"/>
      <c r="H218" s="7"/>
      <c r="I218" s="7"/>
      <c r="J218" s="7"/>
      <c r="K218" s="7"/>
      <c r="L218" s="4"/>
      <c r="M218" s="4"/>
      <c r="N218" s="4"/>
      <c r="O218" s="4"/>
      <c r="P218" s="4"/>
    </row>
    <row r="219" spans="1:16">
      <c r="A219" s="4"/>
      <c r="B219" s="5"/>
      <c r="C219" s="5"/>
      <c r="D219" s="7"/>
      <c r="E219" s="9"/>
      <c r="F219" s="9"/>
      <c r="G219" s="9"/>
      <c r="H219" s="7"/>
      <c r="I219" s="7"/>
      <c r="J219" s="7"/>
      <c r="K219" s="7"/>
      <c r="L219" s="4"/>
      <c r="M219" s="4"/>
      <c r="N219" s="4"/>
      <c r="O219" s="4"/>
      <c r="P219" s="4"/>
    </row>
  </sheetData>
  <mergeCells count="7">
    <mergeCell ref="I14:Q19"/>
    <mergeCell ref="B1:C1"/>
    <mergeCell ref="F1:G1"/>
    <mergeCell ref="J1:N1"/>
    <mergeCell ref="I6:L6"/>
    <mergeCell ref="I9:L9"/>
    <mergeCell ref="I10:K10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Q49"/>
  <sheetViews>
    <sheetView workbookViewId="0">
      <selection activeCell="I7" sqref="I7"/>
    </sheetView>
  </sheetViews>
  <sheetFormatPr defaultColWidth="9" defaultRowHeight="14.25"/>
  <cols>
    <col min="1" max="1" width="9" style="15"/>
    <col min="2" max="2" width="23.125" style="15" bestFit="1" customWidth="1"/>
    <col min="3" max="3" width="36.375" style="15" bestFit="1" customWidth="1"/>
    <col min="4" max="4" width="27.625" style="15" bestFit="1" customWidth="1"/>
    <col min="5" max="5" width="23.125" style="15" bestFit="1" customWidth="1"/>
    <col min="6" max="6" width="6.5" style="15" bestFit="1" customWidth="1"/>
    <col min="7" max="7" width="29" style="15" bestFit="1" customWidth="1"/>
    <col min="8" max="8" width="55.625" style="15" bestFit="1" customWidth="1"/>
    <col min="9" max="9" width="29" style="15" bestFit="1" customWidth="1"/>
    <col min="10" max="10" width="31.625" style="15" bestFit="1" customWidth="1"/>
    <col min="11" max="11" width="20.5" style="15" customWidth="1"/>
    <col min="12" max="12" width="20.75" style="15" customWidth="1"/>
    <col min="13" max="16384" width="9" style="15"/>
  </cols>
  <sheetData>
    <row r="1" spans="2:17">
      <c r="B1" s="52" t="s">
        <v>107</v>
      </c>
      <c r="C1" s="52"/>
      <c r="D1" s="52"/>
      <c r="E1" s="19"/>
      <c r="F1" s="51" t="s">
        <v>112</v>
      </c>
      <c r="G1" s="51"/>
    </row>
    <row r="2" spans="2:17" ht="27">
      <c r="B2" s="44" t="s">
        <v>108</v>
      </c>
      <c r="C2" s="44" t="s">
        <v>109</v>
      </c>
      <c r="D2" s="6" t="s">
        <v>110</v>
      </c>
      <c r="E2" s="44" t="s">
        <v>108</v>
      </c>
      <c r="G2" s="12" t="s">
        <v>111</v>
      </c>
      <c r="H2" s="45" t="s">
        <v>113</v>
      </c>
      <c r="I2" s="14" t="s">
        <v>114</v>
      </c>
    </row>
    <row r="3" spans="2:17">
      <c r="B3" s="20">
        <v>-40</v>
      </c>
      <c r="C3" s="20">
        <v>32762.472426897406</v>
      </c>
      <c r="D3" s="20">
        <v>-168.6881440002841</v>
      </c>
      <c r="E3" s="2">
        <v>-40</v>
      </c>
      <c r="F3" s="15" t="s">
        <v>0</v>
      </c>
      <c r="G3" s="37" t="s">
        <v>63</v>
      </c>
      <c r="H3" s="12">
        <v>0</v>
      </c>
      <c r="I3" s="12">
        <v>0</v>
      </c>
    </row>
    <row r="4" spans="2:17">
      <c r="B4" s="20">
        <v>80</v>
      </c>
      <c r="C4" s="20">
        <v>32764.026416529407</v>
      </c>
      <c r="D4" s="20">
        <v>-121.26414400026597</v>
      </c>
      <c r="E4" s="2">
        <v>-38.590000000000003</v>
      </c>
      <c r="F4" s="15" t="s">
        <v>2</v>
      </c>
      <c r="G4" s="37" t="s">
        <v>64</v>
      </c>
    </row>
    <row r="5" spans="2:17">
      <c r="E5" s="2">
        <v>-37.18</v>
      </c>
      <c r="F5" s="15" t="s">
        <v>3</v>
      </c>
      <c r="G5" s="37" t="s">
        <v>65</v>
      </c>
    </row>
    <row r="6" spans="2:17" ht="52.5" customHeight="1">
      <c r="E6" s="2">
        <v>-35.76</v>
      </c>
      <c r="F6" s="15" t="s">
        <v>4</v>
      </c>
      <c r="G6" s="37" t="s">
        <v>66</v>
      </c>
      <c r="I6" s="50" t="s">
        <v>116</v>
      </c>
      <c r="J6" s="51"/>
      <c r="K6" s="51"/>
      <c r="L6" s="51"/>
    </row>
    <row r="7" spans="2:17" ht="16.5">
      <c r="E7" s="2">
        <v>-34.35</v>
      </c>
      <c r="F7" s="15" t="s">
        <v>5</v>
      </c>
      <c r="G7" s="37" t="s">
        <v>67</v>
      </c>
      <c r="I7" s="6" t="s">
        <v>119</v>
      </c>
      <c r="J7" s="6"/>
      <c r="K7" s="6" t="s">
        <v>57</v>
      </c>
      <c r="L7" s="10" t="s">
        <v>58</v>
      </c>
    </row>
    <row r="8" spans="2:17">
      <c r="E8" s="2">
        <v>-32.94</v>
      </c>
      <c r="F8" s="15" t="s">
        <v>6</v>
      </c>
      <c r="G8" s="37" t="s">
        <v>68</v>
      </c>
      <c r="I8" s="11">
        <v>-0.04</v>
      </c>
      <c r="J8" s="11"/>
      <c r="K8" s="11">
        <v>1.99520000000015</v>
      </c>
      <c r="L8" s="11">
        <v>-24.880144000278101</v>
      </c>
    </row>
    <row r="9" spans="2:17">
      <c r="E9" s="2">
        <v>-31.53</v>
      </c>
      <c r="F9" s="15" t="s">
        <v>7</v>
      </c>
      <c r="G9" s="37" t="s">
        <v>69</v>
      </c>
      <c r="H9" s="51"/>
      <c r="I9" s="51"/>
      <c r="J9" s="51"/>
      <c r="K9" s="51"/>
      <c r="L9"/>
      <c r="M9"/>
      <c r="N9"/>
      <c r="O9"/>
      <c r="P9"/>
    </row>
    <row r="10" spans="2:17" ht="31.5" customHeight="1">
      <c r="E10" s="2">
        <v>-30.12</v>
      </c>
      <c r="F10" s="15" t="s">
        <v>8</v>
      </c>
      <c r="G10" s="37" t="s">
        <v>70</v>
      </c>
      <c r="H10" s="6"/>
      <c r="I10" s="48" t="s">
        <v>115</v>
      </c>
      <c r="J10" s="49"/>
      <c r="K10" s="49"/>
      <c r="L10" t="s">
        <v>118</v>
      </c>
      <c r="M10" s="6">
        <v>-0.04</v>
      </c>
      <c r="N10" t="s">
        <v>56</v>
      </c>
      <c r="O10"/>
      <c r="P10"/>
    </row>
    <row r="11" spans="2:17" ht="16.5">
      <c r="E11" s="2">
        <v>-28.71</v>
      </c>
      <c r="F11" s="15" t="s">
        <v>9</v>
      </c>
      <c r="G11" s="37" t="s">
        <v>71</v>
      </c>
      <c r="H11" s="11"/>
      <c r="I11" s="11"/>
      <c r="J11" s="11"/>
      <c r="K11" s="11"/>
      <c r="L11" t="s">
        <v>54</v>
      </c>
      <c r="M11" s="6">
        <v>24.94</v>
      </c>
      <c r="N11" t="s">
        <v>49</v>
      </c>
      <c r="O11"/>
      <c r="P11"/>
    </row>
    <row r="12" spans="2:17" ht="15.75">
      <c r="E12" s="2">
        <v>-27.29</v>
      </c>
      <c r="F12" s="15" t="s">
        <v>10</v>
      </c>
      <c r="G12" s="37" t="s">
        <v>72</v>
      </c>
      <c r="H12" s="51"/>
      <c r="I12" s="51"/>
      <c r="J12" s="51"/>
      <c r="K12" s="51"/>
      <c r="L12" t="s">
        <v>55</v>
      </c>
      <c r="M12" s="6">
        <v>0</v>
      </c>
      <c r="N12" t="s">
        <v>48</v>
      </c>
      <c r="O12"/>
      <c r="P12"/>
    </row>
    <row r="13" spans="2:17">
      <c r="E13" s="2">
        <v>-25.88</v>
      </c>
      <c r="F13" s="15" t="s">
        <v>11</v>
      </c>
      <c r="G13" s="37" t="s">
        <v>73</v>
      </c>
      <c r="H13"/>
      <c r="I13" s="6"/>
      <c r="J13"/>
      <c r="K13"/>
      <c r="L13"/>
      <c r="M13"/>
    </row>
    <row r="14" spans="2:17" ht="14.25" customHeight="1">
      <c r="E14" s="2">
        <v>-24.47</v>
      </c>
      <c r="F14" s="15" t="s">
        <v>12</v>
      </c>
      <c r="G14" s="37" t="s">
        <v>74</v>
      </c>
      <c r="H14"/>
      <c r="I14" s="48" t="s">
        <v>117</v>
      </c>
      <c r="J14" s="48"/>
      <c r="K14" s="48"/>
      <c r="L14" s="48"/>
      <c r="M14" s="48"/>
      <c r="N14" s="48"/>
      <c r="O14" s="48"/>
      <c r="P14" s="48"/>
      <c r="Q14" s="48"/>
    </row>
    <row r="15" spans="2:17" ht="14.25" customHeight="1">
      <c r="E15" s="2">
        <v>-23.06</v>
      </c>
      <c r="F15" s="15" t="s">
        <v>13</v>
      </c>
      <c r="G15" s="37" t="s">
        <v>75</v>
      </c>
      <c r="H15"/>
      <c r="I15" s="48"/>
      <c r="J15" s="48"/>
      <c r="K15" s="48"/>
      <c r="L15" s="48"/>
      <c r="M15" s="48"/>
      <c r="N15" s="48"/>
      <c r="O15" s="48"/>
      <c r="P15" s="48"/>
      <c r="Q15" s="48"/>
    </row>
    <row r="16" spans="2:17">
      <c r="E16" s="2">
        <v>-21.65</v>
      </c>
      <c r="F16" s="15" t="s">
        <v>14</v>
      </c>
      <c r="G16" s="37" t="s">
        <v>76</v>
      </c>
      <c r="H16" s="6"/>
      <c r="I16" s="48"/>
      <c r="J16" s="48"/>
      <c r="K16" s="48"/>
      <c r="L16" s="48"/>
      <c r="M16" s="48"/>
      <c r="N16" s="48"/>
      <c r="O16" s="48"/>
      <c r="P16" s="48"/>
      <c r="Q16" s="48"/>
    </row>
    <row r="17" spans="5:17">
      <c r="E17" s="2">
        <v>-20.239999999999998</v>
      </c>
      <c r="F17" s="15" t="s">
        <v>15</v>
      </c>
      <c r="G17" s="37" t="s">
        <v>88</v>
      </c>
      <c r="I17" s="48"/>
      <c r="J17" s="48"/>
      <c r="K17" s="48"/>
      <c r="L17" s="48"/>
      <c r="M17" s="48"/>
      <c r="N17" s="48"/>
      <c r="O17" s="48"/>
      <c r="P17" s="48"/>
      <c r="Q17" s="48"/>
    </row>
    <row r="18" spans="5:17">
      <c r="E18" s="2">
        <v>-18.82</v>
      </c>
      <c r="F18" s="15" t="s">
        <v>16</v>
      </c>
      <c r="G18" s="37" t="s">
        <v>89</v>
      </c>
      <c r="H18" s="34"/>
      <c r="I18" s="48"/>
      <c r="J18" s="48"/>
      <c r="K18" s="48"/>
      <c r="L18" s="48"/>
      <c r="M18" s="48"/>
      <c r="N18" s="48"/>
      <c r="O18" s="48"/>
      <c r="P18" s="48"/>
      <c r="Q18" s="48"/>
    </row>
    <row r="19" spans="5:17">
      <c r="E19" s="2">
        <v>-17.41</v>
      </c>
      <c r="F19" s="15" t="s">
        <v>17</v>
      </c>
      <c r="G19" s="37" t="s">
        <v>77</v>
      </c>
      <c r="H19" s="34"/>
      <c r="I19" s="48"/>
      <c r="J19" s="48"/>
      <c r="K19" s="48"/>
      <c r="L19" s="48"/>
      <c r="M19" s="48"/>
      <c r="N19" s="48"/>
      <c r="O19" s="48"/>
      <c r="P19" s="48"/>
      <c r="Q19" s="48"/>
    </row>
    <row r="20" spans="5:17">
      <c r="E20" s="2">
        <v>-16</v>
      </c>
      <c r="F20" s="15" t="s">
        <v>18</v>
      </c>
      <c r="G20" s="37" t="s">
        <v>90</v>
      </c>
      <c r="H20" s="34"/>
      <c r="I20" s="34"/>
      <c r="J20" s="34"/>
      <c r="K20" s="34"/>
      <c r="L20" s="34"/>
      <c r="M20" s="34"/>
      <c r="N20" s="34"/>
      <c r="O20" s="34"/>
      <c r="P20" s="34"/>
    </row>
    <row r="21" spans="5:17">
      <c r="E21" s="2">
        <v>-14.59</v>
      </c>
      <c r="F21" s="15" t="s">
        <v>19</v>
      </c>
      <c r="G21" s="37" t="s">
        <v>91</v>
      </c>
      <c r="H21" s="34"/>
      <c r="I21" s="34"/>
      <c r="J21" s="34"/>
      <c r="K21" s="34"/>
      <c r="L21" s="34"/>
      <c r="M21" s="34"/>
      <c r="N21" s="34"/>
      <c r="O21" s="34"/>
      <c r="P21" s="34"/>
    </row>
    <row r="22" spans="5:17">
      <c r="E22" s="2">
        <v>-13.18</v>
      </c>
      <c r="F22" s="15" t="s">
        <v>20</v>
      </c>
      <c r="G22" s="37" t="s">
        <v>78</v>
      </c>
      <c r="H22" s="34"/>
      <c r="I22" s="34"/>
      <c r="J22" s="34"/>
      <c r="K22" s="34"/>
      <c r="L22" s="34"/>
      <c r="M22" s="34"/>
      <c r="N22" s="34"/>
      <c r="O22" s="34"/>
      <c r="P22" s="34"/>
    </row>
    <row r="23" spans="5:17">
      <c r="E23" s="2">
        <v>-11.76</v>
      </c>
      <c r="F23" s="15" t="s">
        <v>21</v>
      </c>
      <c r="G23" s="37" t="s">
        <v>79</v>
      </c>
    </row>
    <row r="24" spans="5:17">
      <c r="E24" s="2">
        <v>-10.35</v>
      </c>
      <c r="F24" s="15" t="s">
        <v>22</v>
      </c>
      <c r="G24" s="37" t="s">
        <v>92</v>
      </c>
    </row>
    <row r="25" spans="5:17">
      <c r="E25" s="2">
        <v>-8.94</v>
      </c>
      <c r="F25" s="15" t="s">
        <v>23</v>
      </c>
      <c r="G25" s="37" t="s">
        <v>93</v>
      </c>
    </row>
    <row r="26" spans="5:17">
      <c r="E26" s="2">
        <v>-7.53</v>
      </c>
      <c r="F26" s="15" t="s">
        <v>24</v>
      </c>
      <c r="G26" s="37" t="s">
        <v>80</v>
      </c>
    </row>
    <row r="27" spans="5:17">
      <c r="E27" s="2">
        <v>-6.12</v>
      </c>
      <c r="F27" s="15" t="s">
        <v>25</v>
      </c>
      <c r="G27" s="37" t="s">
        <v>81</v>
      </c>
    </row>
    <row r="28" spans="5:17">
      <c r="E28" s="2">
        <v>-4.71</v>
      </c>
      <c r="F28" s="15" t="s">
        <v>26</v>
      </c>
      <c r="G28" s="37" t="s">
        <v>94</v>
      </c>
    </row>
    <row r="29" spans="5:17">
      <c r="E29" s="2">
        <v>-3.29</v>
      </c>
      <c r="F29" s="15" t="s">
        <v>27</v>
      </c>
      <c r="G29" s="37" t="s">
        <v>95</v>
      </c>
    </row>
    <row r="30" spans="5:17">
      <c r="E30" s="2">
        <v>-1.88</v>
      </c>
      <c r="F30" s="15" t="s">
        <v>28</v>
      </c>
      <c r="G30" s="37" t="s">
        <v>96</v>
      </c>
    </row>
    <row r="31" spans="5:17">
      <c r="E31" s="2">
        <v>-0.47</v>
      </c>
      <c r="F31" s="15" t="s">
        <v>29</v>
      </c>
      <c r="G31" s="37" t="s">
        <v>82</v>
      </c>
    </row>
    <row r="32" spans="5:17">
      <c r="E32" s="2">
        <v>0.94</v>
      </c>
      <c r="F32" s="15" t="s">
        <v>30</v>
      </c>
      <c r="G32" s="37" t="s">
        <v>83</v>
      </c>
    </row>
    <row r="33" spans="5:7">
      <c r="E33" s="2">
        <v>2.35</v>
      </c>
      <c r="F33" s="15" t="s">
        <v>31</v>
      </c>
      <c r="G33" s="37" t="s">
        <v>97</v>
      </c>
    </row>
    <row r="34" spans="5:7">
      <c r="E34" s="2">
        <v>3.76</v>
      </c>
      <c r="F34" s="15" t="s">
        <v>32</v>
      </c>
      <c r="G34" s="37" t="s">
        <v>98</v>
      </c>
    </row>
    <row r="35" spans="5:7">
      <c r="E35" s="2">
        <v>5.18</v>
      </c>
      <c r="F35" s="15" t="s">
        <v>33</v>
      </c>
      <c r="G35" s="37" t="s">
        <v>99</v>
      </c>
    </row>
    <row r="36" spans="5:7">
      <c r="E36" s="2">
        <v>6.59</v>
      </c>
      <c r="F36" s="15" t="s">
        <v>34</v>
      </c>
      <c r="G36" s="37" t="s">
        <v>100</v>
      </c>
    </row>
    <row r="37" spans="5:7">
      <c r="E37" s="2">
        <v>8</v>
      </c>
      <c r="F37" s="15" t="s">
        <v>35</v>
      </c>
      <c r="G37" s="37" t="s">
        <v>84</v>
      </c>
    </row>
    <row r="38" spans="5:7">
      <c r="E38" s="2">
        <v>9.41</v>
      </c>
      <c r="F38" s="15" t="s">
        <v>36</v>
      </c>
      <c r="G38" s="37" t="s">
        <v>85</v>
      </c>
    </row>
    <row r="39" spans="5:7">
      <c r="E39" s="2">
        <v>10.82</v>
      </c>
      <c r="F39" s="15" t="s">
        <v>37</v>
      </c>
      <c r="G39" s="37" t="s">
        <v>86</v>
      </c>
    </row>
    <row r="40" spans="5:7">
      <c r="E40" s="2">
        <v>12.24</v>
      </c>
      <c r="F40" s="15" t="s">
        <v>38</v>
      </c>
      <c r="G40" s="37" t="s">
        <v>87</v>
      </c>
    </row>
    <row r="41" spans="5:7">
      <c r="E41" s="2">
        <v>13.65</v>
      </c>
      <c r="F41" s="15" t="s">
        <v>39</v>
      </c>
      <c r="G41" s="37" t="s">
        <v>101</v>
      </c>
    </row>
    <row r="42" spans="5:7">
      <c r="E42" s="2">
        <v>15.06</v>
      </c>
      <c r="F42" s="15" t="s">
        <v>40</v>
      </c>
      <c r="G42" s="37" t="s">
        <v>102</v>
      </c>
    </row>
    <row r="43" spans="5:7">
      <c r="E43" s="2">
        <v>16.47</v>
      </c>
      <c r="F43" s="15" t="s">
        <v>41</v>
      </c>
      <c r="G43" s="37" t="s">
        <v>103</v>
      </c>
    </row>
    <row r="44" spans="5:7">
      <c r="E44" s="2">
        <v>17.88</v>
      </c>
      <c r="F44" s="15" t="s">
        <v>42</v>
      </c>
      <c r="G44" s="37" t="s">
        <v>104</v>
      </c>
    </row>
    <row r="45" spans="5:7">
      <c r="E45" s="2">
        <v>19.29</v>
      </c>
      <c r="F45" s="15" t="s">
        <v>43</v>
      </c>
      <c r="G45" s="37" t="s">
        <v>105</v>
      </c>
    </row>
    <row r="46" spans="5:7">
      <c r="E46" s="2">
        <v>20.71</v>
      </c>
      <c r="F46" s="15" t="s">
        <v>44</v>
      </c>
      <c r="G46" s="37" t="s">
        <v>105</v>
      </c>
    </row>
    <row r="47" spans="5:7">
      <c r="E47" s="2">
        <v>22.12</v>
      </c>
      <c r="F47" s="15" t="s">
        <v>45</v>
      </c>
      <c r="G47" s="37" t="s">
        <v>106</v>
      </c>
    </row>
    <row r="48" spans="5:7">
      <c r="E48" s="2">
        <v>23.53</v>
      </c>
      <c r="F48" s="15" t="s">
        <v>46</v>
      </c>
      <c r="G48" s="37" t="s">
        <v>106</v>
      </c>
    </row>
    <row r="49" spans="5:7">
      <c r="E49" s="2">
        <v>24.94</v>
      </c>
      <c r="F49" s="15" t="s">
        <v>47</v>
      </c>
      <c r="G49" s="37" t="s">
        <v>106</v>
      </c>
    </row>
  </sheetData>
  <mergeCells count="7">
    <mergeCell ref="I14:Q19"/>
    <mergeCell ref="B1:D1"/>
    <mergeCell ref="H9:K9"/>
    <mergeCell ref="H12:K12"/>
    <mergeCell ref="F1:G1"/>
    <mergeCell ref="I6:L6"/>
    <mergeCell ref="I10:K10"/>
  </mergeCells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P49"/>
  <sheetViews>
    <sheetView topLeftCell="D1" workbookViewId="0">
      <selection activeCell="H27" sqref="H27"/>
    </sheetView>
  </sheetViews>
  <sheetFormatPr defaultColWidth="9" defaultRowHeight="14.25"/>
  <cols>
    <col min="1" max="1" width="9" style="15"/>
    <col min="2" max="2" width="23.125" style="15" bestFit="1" customWidth="1"/>
    <col min="3" max="3" width="36.375" style="15" bestFit="1" customWidth="1"/>
    <col min="4" max="4" width="27.625" style="15" bestFit="1" customWidth="1"/>
    <col min="5" max="5" width="23.125" style="15" bestFit="1" customWidth="1"/>
    <col min="6" max="6" width="6.5" style="15" bestFit="1" customWidth="1"/>
    <col min="7" max="7" width="29" style="15" bestFit="1" customWidth="1"/>
    <col min="8" max="8" width="55.625" style="15" bestFit="1" customWidth="1"/>
    <col min="9" max="9" width="22.75" style="15" bestFit="1" customWidth="1"/>
    <col min="10" max="10" width="31.625" style="15" bestFit="1" customWidth="1"/>
    <col min="11" max="11" width="25.625" style="15" customWidth="1"/>
    <col min="12" max="12" width="22" style="15" bestFit="1" customWidth="1"/>
    <col min="13" max="13" width="13" style="15" customWidth="1"/>
    <col min="14" max="16384" width="9" style="15"/>
  </cols>
  <sheetData>
    <row r="1" spans="1:16">
      <c r="B1" s="52" t="s">
        <v>107</v>
      </c>
      <c r="C1" s="52"/>
      <c r="D1" s="52"/>
      <c r="E1" s="19"/>
      <c r="F1" s="51" t="s">
        <v>112</v>
      </c>
      <c r="G1" s="51"/>
    </row>
    <row r="2" spans="1:16" ht="40.5">
      <c r="B2" s="44" t="s">
        <v>108</v>
      </c>
      <c r="C2" s="44" t="s">
        <v>109</v>
      </c>
      <c r="D2" s="6" t="s">
        <v>110</v>
      </c>
      <c r="E2" s="44" t="s">
        <v>108</v>
      </c>
      <c r="G2" s="12" t="s">
        <v>111</v>
      </c>
      <c r="H2" s="45" t="s">
        <v>113</v>
      </c>
      <c r="I2" s="14" t="s">
        <v>114</v>
      </c>
    </row>
    <row r="3" spans="1:16">
      <c r="A3" s="15" t="s">
        <v>59</v>
      </c>
      <c r="B3" s="20">
        <v>25</v>
      </c>
      <c r="C3" s="20">
        <v>32768</v>
      </c>
      <c r="D3" s="20">
        <v>0</v>
      </c>
      <c r="E3" s="2">
        <v>-40</v>
      </c>
      <c r="F3" s="15" t="s">
        <v>0</v>
      </c>
      <c r="G3" s="37" t="s">
        <v>63</v>
      </c>
      <c r="H3" s="12">
        <v>0</v>
      </c>
      <c r="I3" s="12">
        <v>0</v>
      </c>
      <c r="L3" s="15">
        <v>0</v>
      </c>
    </row>
    <row r="4" spans="1:16">
      <c r="B4" s="21"/>
      <c r="C4" s="21"/>
      <c r="D4" s="21"/>
      <c r="E4" s="2">
        <v>-38.590000000000003</v>
      </c>
      <c r="F4" s="15" t="s">
        <v>2</v>
      </c>
      <c r="G4" s="37" t="s">
        <v>64</v>
      </c>
    </row>
    <row r="5" spans="1:16">
      <c r="E5" s="2">
        <v>-37.18</v>
      </c>
      <c r="F5" s="15" t="s">
        <v>3</v>
      </c>
      <c r="G5" s="37" t="s">
        <v>65</v>
      </c>
    </row>
    <row r="6" spans="1:16">
      <c r="E6" s="2">
        <v>-35.76</v>
      </c>
      <c r="F6" s="15" t="s">
        <v>4</v>
      </c>
      <c r="G6" s="37" t="s">
        <v>66</v>
      </c>
    </row>
    <row r="7" spans="1:16">
      <c r="E7" s="2">
        <v>-34.35</v>
      </c>
      <c r="F7" s="15" t="s">
        <v>5</v>
      </c>
      <c r="G7" s="37" t="s">
        <v>67</v>
      </c>
    </row>
    <row r="8" spans="1:16">
      <c r="E8" s="2">
        <v>-32.94</v>
      </c>
      <c r="F8" s="15" t="s">
        <v>6</v>
      </c>
      <c r="G8" s="37" t="s">
        <v>68</v>
      </c>
    </row>
    <row r="9" spans="1:16">
      <c r="E9" s="2">
        <v>-31.53</v>
      </c>
      <c r="F9" s="15" t="s">
        <v>7</v>
      </c>
      <c r="G9" s="37" t="s">
        <v>69</v>
      </c>
      <c r="H9" s="51"/>
      <c r="I9" s="51"/>
      <c r="J9" s="51"/>
      <c r="K9" s="51"/>
      <c r="L9"/>
      <c r="M9"/>
      <c r="N9"/>
      <c r="O9"/>
      <c r="P9"/>
    </row>
    <row r="10" spans="1:16" ht="32.25" customHeight="1">
      <c r="E10" s="2">
        <v>-30.12</v>
      </c>
      <c r="F10" s="15" t="s">
        <v>8</v>
      </c>
      <c r="G10" s="37" t="s">
        <v>70</v>
      </c>
      <c r="H10" s="6"/>
      <c r="I10" s="48" t="s">
        <v>115</v>
      </c>
      <c r="J10" s="49"/>
      <c r="K10" s="49"/>
      <c r="L10" t="s">
        <v>120</v>
      </c>
      <c r="M10" s="6">
        <v>-0.04</v>
      </c>
      <c r="N10" t="s">
        <v>56</v>
      </c>
      <c r="O10"/>
      <c r="P10"/>
    </row>
    <row r="11" spans="1:16" ht="16.5">
      <c r="E11" s="2">
        <v>-28.71</v>
      </c>
      <c r="F11" s="15" t="s">
        <v>9</v>
      </c>
      <c r="G11" s="37" t="s">
        <v>71</v>
      </c>
      <c r="H11" s="11"/>
      <c r="I11"/>
      <c r="J11"/>
      <c r="K11"/>
      <c r="L11" t="s">
        <v>121</v>
      </c>
      <c r="M11" s="6">
        <v>24.94</v>
      </c>
      <c r="N11" t="s">
        <v>49</v>
      </c>
      <c r="O11"/>
      <c r="P11"/>
    </row>
    <row r="12" spans="1:16" ht="16.5">
      <c r="E12" s="2">
        <v>-27.29</v>
      </c>
      <c r="F12" s="15" t="s">
        <v>10</v>
      </c>
      <c r="G12" s="37" t="s">
        <v>72</v>
      </c>
      <c r="H12"/>
      <c r="I12"/>
      <c r="J12"/>
      <c r="K12"/>
      <c r="L12" t="s">
        <v>60</v>
      </c>
      <c r="M12" s="13">
        <v>0</v>
      </c>
      <c r="N12" t="s">
        <v>48</v>
      </c>
    </row>
    <row r="13" spans="1:16">
      <c r="E13" s="2">
        <v>-25.88</v>
      </c>
      <c r="F13" s="15" t="s">
        <v>11</v>
      </c>
      <c r="G13" s="37" t="s">
        <v>73</v>
      </c>
      <c r="H13" s="33"/>
      <c r="I13" s="33"/>
      <c r="J13" s="33"/>
      <c r="K13"/>
      <c r="L13" s="6"/>
      <c r="M13"/>
      <c r="N13"/>
      <c r="O13"/>
      <c r="P13"/>
    </row>
    <row r="14" spans="1:16" ht="14.25" customHeight="1">
      <c r="E14" s="2">
        <v>-24.47</v>
      </c>
      <c r="F14" s="15" t="s">
        <v>12</v>
      </c>
      <c r="G14" s="37" t="s">
        <v>74</v>
      </c>
      <c r="H14" s="48" t="s">
        <v>117</v>
      </c>
      <c r="I14" s="48"/>
      <c r="J14" s="48"/>
      <c r="K14" s="48"/>
      <c r="L14" s="48"/>
      <c r="M14" s="48"/>
      <c r="N14" s="48"/>
      <c r="O14" s="48"/>
      <c r="P14" s="48"/>
    </row>
    <row r="15" spans="1:16" ht="14.25" customHeight="1">
      <c r="E15" s="2">
        <v>-23.06</v>
      </c>
      <c r="F15" s="15" t="s">
        <v>13</v>
      </c>
      <c r="G15" s="37" t="s">
        <v>75</v>
      </c>
      <c r="H15" s="48"/>
      <c r="I15" s="48"/>
      <c r="J15" s="48"/>
      <c r="K15" s="48"/>
      <c r="L15" s="48"/>
      <c r="M15" s="48"/>
      <c r="N15" s="48"/>
      <c r="O15" s="48"/>
      <c r="P15" s="48"/>
    </row>
    <row r="16" spans="1:16">
      <c r="E16" s="2">
        <v>-21.65</v>
      </c>
      <c r="F16" s="15" t="s">
        <v>14</v>
      </c>
      <c r="G16" s="37" t="s">
        <v>76</v>
      </c>
      <c r="H16" s="48"/>
      <c r="I16" s="48"/>
      <c r="J16" s="48"/>
      <c r="K16" s="48"/>
      <c r="L16" s="48"/>
      <c r="M16" s="48"/>
      <c r="N16" s="48"/>
      <c r="O16" s="48"/>
      <c r="P16" s="48"/>
    </row>
    <row r="17" spans="5:16" ht="15.6" customHeight="1">
      <c r="E17" s="2">
        <v>-20.239999999999998</v>
      </c>
      <c r="F17" s="15" t="s">
        <v>15</v>
      </c>
      <c r="G17" s="37" t="s">
        <v>88</v>
      </c>
      <c r="H17" s="48"/>
      <c r="I17" s="48"/>
      <c r="J17" s="48"/>
      <c r="K17" s="48"/>
      <c r="L17" s="48"/>
      <c r="M17" s="48"/>
      <c r="N17" s="48"/>
      <c r="O17" s="48"/>
      <c r="P17" s="48"/>
    </row>
    <row r="18" spans="5:16">
      <c r="E18" s="2">
        <v>-18.82</v>
      </c>
      <c r="F18" s="15" t="s">
        <v>16</v>
      </c>
      <c r="G18" s="37" t="s">
        <v>89</v>
      </c>
      <c r="H18" s="48"/>
      <c r="I18" s="48"/>
      <c r="J18" s="48"/>
      <c r="K18" s="48"/>
      <c r="L18" s="48"/>
      <c r="M18" s="48"/>
      <c r="N18" s="48"/>
      <c r="O18" s="48"/>
      <c r="P18" s="48"/>
    </row>
    <row r="19" spans="5:16">
      <c r="E19" s="2">
        <v>-17.41</v>
      </c>
      <c r="F19" s="15" t="s">
        <v>17</v>
      </c>
      <c r="G19" s="37" t="s">
        <v>77</v>
      </c>
      <c r="H19" s="48"/>
      <c r="I19" s="48"/>
      <c r="J19" s="48"/>
      <c r="K19" s="48"/>
      <c r="L19" s="48"/>
      <c r="M19" s="48"/>
      <c r="N19" s="48"/>
      <c r="O19" s="48"/>
      <c r="P19" s="48"/>
    </row>
    <row r="20" spans="5:16">
      <c r="E20" s="2">
        <v>-16</v>
      </c>
      <c r="F20" s="15" t="s">
        <v>18</v>
      </c>
      <c r="G20" s="37" t="s">
        <v>90</v>
      </c>
    </row>
    <row r="21" spans="5:16">
      <c r="E21" s="2">
        <v>-14.59</v>
      </c>
      <c r="F21" s="15" t="s">
        <v>19</v>
      </c>
      <c r="G21" s="37" t="s">
        <v>91</v>
      </c>
    </row>
    <row r="22" spans="5:16">
      <c r="E22" s="2">
        <v>-13.18</v>
      </c>
      <c r="F22" s="15" t="s">
        <v>20</v>
      </c>
      <c r="G22" s="37" t="s">
        <v>78</v>
      </c>
    </row>
    <row r="23" spans="5:16">
      <c r="E23" s="2">
        <v>-11.76</v>
      </c>
      <c r="F23" s="15" t="s">
        <v>21</v>
      </c>
      <c r="G23" s="37" t="s">
        <v>79</v>
      </c>
    </row>
    <row r="24" spans="5:16">
      <c r="E24" s="2">
        <v>-10.35</v>
      </c>
      <c r="F24" s="15" t="s">
        <v>22</v>
      </c>
      <c r="G24" s="37" t="s">
        <v>92</v>
      </c>
    </row>
    <row r="25" spans="5:16">
      <c r="E25" s="2">
        <v>-8.94</v>
      </c>
      <c r="F25" s="15" t="s">
        <v>23</v>
      </c>
      <c r="G25" s="37" t="s">
        <v>93</v>
      </c>
    </row>
    <row r="26" spans="5:16">
      <c r="E26" s="2">
        <v>-7.53</v>
      </c>
      <c r="F26" s="15" t="s">
        <v>24</v>
      </c>
      <c r="G26" s="37" t="s">
        <v>80</v>
      </c>
    </row>
    <row r="27" spans="5:16">
      <c r="E27" s="2">
        <v>-6.12</v>
      </c>
      <c r="F27" s="15" t="s">
        <v>25</v>
      </c>
      <c r="G27" s="37" t="s">
        <v>81</v>
      </c>
    </row>
    <row r="28" spans="5:16">
      <c r="E28" s="2">
        <v>-4.71</v>
      </c>
      <c r="F28" s="15" t="s">
        <v>26</v>
      </c>
      <c r="G28" s="37" t="s">
        <v>94</v>
      </c>
    </row>
    <row r="29" spans="5:16">
      <c r="E29" s="2">
        <v>-3.29</v>
      </c>
      <c r="F29" s="15" t="s">
        <v>27</v>
      </c>
      <c r="G29" s="37" t="s">
        <v>95</v>
      </c>
    </row>
    <row r="30" spans="5:16">
      <c r="E30" s="2">
        <v>-1.88</v>
      </c>
      <c r="F30" s="15" t="s">
        <v>28</v>
      </c>
      <c r="G30" s="37" t="s">
        <v>96</v>
      </c>
    </row>
    <row r="31" spans="5:16">
      <c r="E31" s="2">
        <v>-0.47</v>
      </c>
      <c r="F31" s="15" t="s">
        <v>29</v>
      </c>
      <c r="G31" s="37" t="s">
        <v>82</v>
      </c>
    </row>
    <row r="32" spans="5:16">
      <c r="E32" s="2">
        <v>0.94</v>
      </c>
      <c r="F32" s="15" t="s">
        <v>30</v>
      </c>
      <c r="G32" s="37" t="s">
        <v>83</v>
      </c>
    </row>
    <row r="33" spans="5:7">
      <c r="E33" s="2">
        <v>2.35</v>
      </c>
      <c r="F33" s="15" t="s">
        <v>31</v>
      </c>
      <c r="G33" s="37" t="s">
        <v>97</v>
      </c>
    </row>
    <row r="34" spans="5:7">
      <c r="E34" s="2">
        <v>3.76</v>
      </c>
      <c r="F34" s="15" t="s">
        <v>32</v>
      </c>
      <c r="G34" s="37" t="s">
        <v>98</v>
      </c>
    </row>
    <row r="35" spans="5:7">
      <c r="E35" s="2">
        <v>5.18</v>
      </c>
      <c r="F35" s="15" t="s">
        <v>33</v>
      </c>
      <c r="G35" s="37" t="s">
        <v>99</v>
      </c>
    </row>
    <row r="36" spans="5:7">
      <c r="E36" s="2">
        <v>6.59</v>
      </c>
      <c r="F36" s="15" t="s">
        <v>34</v>
      </c>
      <c r="G36" s="37" t="s">
        <v>100</v>
      </c>
    </row>
    <row r="37" spans="5:7">
      <c r="E37" s="2">
        <v>8</v>
      </c>
      <c r="F37" s="15" t="s">
        <v>35</v>
      </c>
      <c r="G37" s="37" t="s">
        <v>84</v>
      </c>
    </row>
    <row r="38" spans="5:7">
      <c r="E38" s="2">
        <v>9.41</v>
      </c>
      <c r="F38" s="15" t="s">
        <v>36</v>
      </c>
      <c r="G38" s="37" t="s">
        <v>85</v>
      </c>
    </row>
    <row r="39" spans="5:7">
      <c r="E39" s="2">
        <v>10.82</v>
      </c>
      <c r="F39" s="15" t="s">
        <v>37</v>
      </c>
      <c r="G39" s="37" t="s">
        <v>86</v>
      </c>
    </row>
    <row r="40" spans="5:7">
      <c r="E40" s="2">
        <v>12.24</v>
      </c>
      <c r="F40" s="15" t="s">
        <v>38</v>
      </c>
      <c r="G40" s="37" t="s">
        <v>87</v>
      </c>
    </row>
    <row r="41" spans="5:7">
      <c r="E41" s="2">
        <v>13.65</v>
      </c>
      <c r="F41" s="15" t="s">
        <v>39</v>
      </c>
      <c r="G41" s="37" t="s">
        <v>101</v>
      </c>
    </row>
    <row r="42" spans="5:7">
      <c r="E42" s="2">
        <v>15.06</v>
      </c>
      <c r="F42" s="15" t="s">
        <v>40</v>
      </c>
      <c r="G42" s="37" t="s">
        <v>102</v>
      </c>
    </row>
    <row r="43" spans="5:7">
      <c r="E43" s="2">
        <v>16.47</v>
      </c>
      <c r="F43" s="15" t="s">
        <v>41</v>
      </c>
      <c r="G43" s="37" t="s">
        <v>103</v>
      </c>
    </row>
    <row r="44" spans="5:7">
      <c r="E44" s="2">
        <v>17.88</v>
      </c>
      <c r="F44" s="15" t="s">
        <v>42</v>
      </c>
      <c r="G44" s="37" t="s">
        <v>104</v>
      </c>
    </row>
    <row r="45" spans="5:7">
      <c r="E45" s="2">
        <v>19.29</v>
      </c>
      <c r="F45" s="15" t="s">
        <v>43</v>
      </c>
      <c r="G45" s="37" t="s">
        <v>105</v>
      </c>
    </row>
    <row r="46" spans="5:7">
      <c r="E46" s="2">
        <v>20.71</v>
      </c>
      <c r="F46" s="15" t="s">
        <v>44</v>
      </c>
      <c r="G46" s="37" t="s">
        <v>105</v>
      </c>
    </row>
    <row r="47" spans="5:7">
      <c r="E47" s="2">
        <v>22.12</v>
      </c>
      <c r="F47" s="15" t="s">
        <v>45</v>
      </c>
      <c r="G47" s="37" t="s">
        <v>106</v>
      </c>
    </row>
    <row r="48" spans="5:7">
      <c r="E48" s="2">
        <v>23.53</v>
      </c>
      <c r="F48" s="15" t="s">
        <v>46</v>
      </c>
      <c r="G48" s="37" t="s">
        <v>106</v>
      </c>
    </row>
    <row r="49" spans="5:7">
      <c r="E49" s="2">
        <v>24.94</v>
      </c>
      <c r="F49" s="15" t="s">
        <v>47</v>
      </c>
      <c r="G49" s="37" t="s">
        <v>106</v>
      </c>
    </row>
  </sheetData>
  <mergeCells count="5">
    <mergeCell ref="H14:P19"/>
    <mergeCell ref="B1:D1"/>
    <mergeCell ref="F1:G1"/>
    <mergeCell ref="H9:K9"/>
    <mergeCell ref="I10:K10"/>
  </mergeCells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R363"/>
  <sheetViews>
    <sheetView workbookViewId="0">
      <selection activeCell="N16" sqref="N16"/>
    </sheetView>
  </sheetViews>
  <sheetFormatPr defaultColWidth="9" defaultRowHeight="14.25"/>
  <cols>
    <col min="1" max="3" width="9" style="31"/>
    <col min="4" max="4" width="16.25" style="31" customWidth="1"/>
    <col min="5" max="5" width="9" style="23"/>
    <col min="6" max="7" width="9" style="31"/>
    <col min="8" max="8" width="23.125" style="31" customWidth="1"/>
    <col min="9" max="9" width="6.25" style="23" customWidth="1"/>
    <col min="10" max="17" width="9" style="23"/>
    <col min="18" max="18" width="35.875" style="23" customWidth="1"/>
    <col min="19" max="16384" width="9" style="23"/>
  </cols>
  <sheetData>
    <row r="1" spans="1:18" ht="48" customHeight="1">
      <c r="A1" s="57" t="s">
        <v>129</v>
      </c>
      <c r="B1" s="54"/>
      <c r="C1" s="54"/>
      <c r="D1" s="54"/>
      <c r="F1" s="57" t="s">
        <v>124</v>
      </c>
      <c r="G1" s="53"/>
      <c r="H1" s="53"/>
      <c r="J1" s="55" t="s">
        <v>130</v>
      </c>
      <c r="K1" s="56"/>
      <c r="L1" s="56"/>
      <c r="M1" s="56"/>
      <c r="N1" s="56"/>
      <c r="O1" s="56"/>
      <c r="P1" s="56"/>
      <c r="Q1" s="56"/>
      <c r="R1" s="56"/>
    </row>
    <row r="2" spans="1:18" ht="27">
      <c r="A2" s="22" t="s">
        <v>62</v>
      </c>
      <c r="B2" s="22" t="s">
        <v>61</v>
      </c>
      <c r="C2" s="24" t="s">
        <v>125</v>
      </c>
      <c r="D2" s="25" t="s">
        <v>123</v>
      </c>
      <c r="F2" s="46" t="s">
        <v>62</v>
      </c>
      <c r="G2" s="46" t="s">
        <v>61</v>
      </c>
      <c r="H2" s="24" t="s">
        <v>123</v>
      </c>
      <c r="J2" s="56"/>
      <c r="K2" s="56"/>
      <c r="L2" s="56"/>
      <c r="M2" s="56"/>
      <c r="N2" s="56"/>
      <c r="O2" s="56"/>
      <c r="P2" s="56"/>
      <c r="Q2" s="56"/>
      <c r="R2" s="56"/>
    </row>
    <row r="3" spans="1:18">
      <c r="A3" s="26" t="str">
        <f>DEC2HEX(B3)</f>
        <v>0</v>
      </c>
      <c r="B3" s="27">
        <v>0</v>
      </c>
      <c r="C3" s="28" t="str">
        <f>TEXT(DEC2BIN(B3),"00000000")</f>
        <v>00000000</v>
      </c>
      <c r="D3" s="29">
        <v>-40</v>
      </c>
      <c r="F3" s="58" t="str">
        <f>DEC2HEX(G3)</f>
        <v>F92</v>
      </c>
      <c r="G3" s="59">
        <f>IF(H3&gt;0,2*H3,2*H3+4096)</f>
        <v>3986</v>
      </c>
      <c r="H3" s="60">
        <v>-55</v>
      </c>
      <c r="J3" s="56"/>
      <c r="K3" s="56"/>
      <c r="L3" s="56"/>
      <c r="M3" s="56"/>
      <c r="N3" s="56"/>
      <c r="O3" s="56"/>
      <c r="P3" s="56"/>
      <c r="Q3" s="56"/>
      <c r="R3" s="56"/>
    </row>
    <row r="4" spans="1:18">
      <c r="A4" s="26" t="str">
        <f t="shared" ref="A4:A67" si="0">DEC2HEX(B4)</f>
        <v>1</v>
      </c>
      <c r="B4" s="27">
        <v>1</v>
      </c>
      <c r="C4" s="28" t="str">
        <f t="shared" ref="C4:C67" si="1">TEXT(DEC2BIN(B4),"00000000")</f>
        <v>00000001</v>
      </c>
      <c r="D4" s="30">
        <f>(180/255)*B4-40</f>
        <v>-39.294117647058826</v>
      </c>
      <c r="F4" s="58" t="str">
        <f t="shared" ref="F4:F67" si="2">DEC2HEX(G4)</f>
        <v>F93</v>
      </c>
      <c r="G4" s="59">
        <f t="shared" ref="G4:G67" si="3">IF(H4&gt;0,2*H4,2*H4+4096)</f>
        <v>3987</v>
      </c>
      <c r="H4" s="60">
        <v>-54.5</v>
      </c>
      <c r="J4" s="56"/>
      <c r="K4" s="56"/>
      <c r="L4" s="56"/>
      <c r="M4" s="56"/>
      <c r="N4" s="56"/>
      <c r="O4" s="56"/>
      <c r="P4" s="56"/>
      <c r="Q4" s="56"/>
      <c r="R4" s="56"/>
    </row>
    <row r="5" spans="1:18">
      <c r="A5" s="26" t="str">
        <f t="shared" si="0"/>
        <v>2</v>
      </c>
      <c r="B5" s="27">
        <v>2</v>
      </c>
      <c r="C5" s="28" t="str">
        <f t="shared" si="1"/>
        <v>00000010</v>
      </c>
      <c r="D5" s="30">
        <f t="shared" ref="D5:D68" si="4">(180/255)*B5-40</f>
        <v>-38.588235294117645</v>
      </c>
      <c r="F5" s="58" t="str">
        <f t="shared" si="2"/>
        <v>F94</v>
      </c>
      <c r="G5" s="59">
        <f t="shared" si="3"/>
        <v>3988</v>
      </c>
      <c r="H5" s="60">
        <v>-54</v>
      </c>
      <c r="J5" s="56"/>
      <c r="K5" s="56"/>
      <c r="L5" s="56"/>
      <c r="M5" s="56"/>
      <c r="N5" s="56"/>
      <c r="O5" s="56"/>
      <c r="P5" s="56"/>
      <c r="Q5" s="56"/>
      <c r="R5" s="56"/>
    </row>
    <row r="6" spans="1:18">
      <c r="A6" s="26" t="str">
        <f t="shared" si="0"/>
        <v>3</v>
      </c>
      <c r="B6" s="27">
        <v>3</v>
      </c>
      <c r="C6" s="28" t="str">
        <f t="shared" si="1"/>
        <v>00000011</v>
      </c>
      <c r="D6" s="30">
        <f t="shared" si="4"/>
        <v>-37.882352941176471</v>
      </c>
      <c r="F6" s="58" t="str">
        <f t="shared" si="2"/>
        <v>F95</v>
      </c>
      <c r="G6" s="59">
        <f t="shared" si="3"/>
        <v>3989</v>
      </c>
      <c r="H6" s="60">
        <v>-53.5</v>
      </c>
      <c r="J6" s="56"/>
      <c r="K6" s="56"/>
      <c r="L6" s="56"/>
      <c r="M6" s="56"/>
      <c r="N6" s="56"/>
      <c r="O6" s="56"/>
      <c r="P6" s="56"/>
      <c r="Q6" s="56"/>
      <c r="R6" s="56"/>
    </row>
    <row r="7" spans="1:18">
      <c r="A7" s="26" t="str">
        <f t="shared" si="0"/>
        <v>4</v>
      </c>
      <c r="B7" s="27">
        <v>4</v>
      </c>
      <c r="C7" s="28" t="str">
        <f t="shared" si="1"/>
        <v>00000100</v>
      </c>
      <c r="D7" s="30">
        <f t="shared" si="4"/>
        <v>-37.176470588235297</v>
      </c>
      <c r="F7" s="58" t="str">
        <f t="shared" si="2"/>
        <v>F96</v>
      </c>
      <c r="G7" s="59">
        <f t="shared" si="3"/>
        <v>3990</v>
      </c>
      <c r="H7" s="60">
        <v>-53</v>
      </c>
      <c r="J7" s="56"/>
      <c r="K7" s="56"/>
      <c r="L7" s="56"/>
      <c r="M7" s="56"/>
      <c r="N7" s="56"/>
      <c r="O7" s="56"/>
      <c r="P7" s="56"/>
      <c r="Q7" s="56"/>
      <c r="R7" s="56"/>
    </row>
    <row r="8" spans="1:18">
      <c r="A8" s="26" t="str">
        <f t="shared" si="0"/>
        <v>5</v>
      </c>
      <c r="B8" s="27">
        <v>5</v>
      </c>
      <c r="C8" s="28" t="str">
        <f t="shared" si="1"/>
        <v>00000101</v>
      </c>
      <c r="D8" s="30">
        <f t="shared" si="4"/>
        <v>-36.470588235294116</v>
      </c>
      <c r="F8" s="58" t="str">
        <f t="shared" si="2"/>
        <v>F97</v>
      </c>
      <c r="G8" s="59">
        <f t="shared" si="3"/>
        <v>3991</v>
      </c>
      <c r="H8" s="60">
        <v>-52.5</v>
      </c>
      <c r="J8" s="56"/>
      <c r="K8" s="56"/>
      <c r="L8" s="56"/>
      <c r="M8" s="56"/>
      <c r="N8" s="56"/>
      <c r="O8" s="56"/>
      <c r="P8" s="56"/>
      <c r="Q8" s="56"/>
      <c r="R8" s="56"/>
    </row>
    <row r="9" spans="1:18">
      <c r="A9" s="26" t="str">
        <f t="shared" si="0"/>
        <v>6</v>
      </c>
      <c r="B9" s="27">
        <v>6</v>
      </c>
      <c r="C9" s="28" t="str">
        <f t="shared" si="1"/>
        <v>00000110</v>
      </c>
      <c r="D9" s="30">
        <f t="shared" si="4"/>
        <v>-35.764705882352942</v>
      </c>
      <c r="F9" s="58" t="str">
        <f t="shared" si="2"/>
        <v>F98</v>
      </c>
      <c r="G9" s="59">
        <f t="shared" si="3"/>
        <v>3992</v>
      </c>
      <c r="H9" s="60">
        <v>-52</v>
      </c>
      <c r="J9" s="56"/>
      <c r="K9" s="56"/>
      <c r="L9" s="56"/>
      <c r="M9" s="56"/>
      <c r="N9" s="56"/>
      <c r="O9" s="56"/>
      <c r="P9" s="56"/>
      <c r="Q9" s="56"/>
      <c r="R9" s="56"/>
    </row>
    <row r="10" spans="1:18">
      <c r="A10" s="26" t="str">
        <f t="shared" si="0"/>
        <v>7</v>
      </c>
      <c r="B10" s="27">
        <v>7</v>
      </c>
      <c r="C10" s="28" t="str">
        <f t="shared" si="1"/>
        <v>00000111</v>
      </c>
      <c r="D10" s="30">
        <f t="shared" si="4"/>
        <v>-35.058823529411768</v>
      </c>
      <c r="F10" s="58" t="str">
        <f t="shared" si="2"/>
        <v>F99</v>
      </c>
      <c r="G10" s="59">
        <f t="shared" si="3"/>
        <v>3993</v>
      </c>
      <c r="H10" s="60">
        <v>-51.5</v>
      </c>
    </row>
    <row r="11" spans="1:18">
      <c r="A11" s="26" t="str">
        <f t="shared" si="0"/>
        <v>8</v>
      </c>
      <c r="B11" s="27">
        <v>8</v>
      </c>
      <c r="C11" s="28" t="str">
        <f t="shared" si="1"/>
        <v>00001000</v>
      </c>
      <c r="D11" s="30">
        <f t="shared" si="4"/>
        <v>-34.352941176470587</v>
      </c>
      <c r="F11" s="58" t="str">
        <f t="shared" si="2"/>
        <v>F9A</v>
      </c>
      <c r="G11" s="59">
        <f t="shared" si="3"/>
        <v>3994</v>
      </c>
      <c r="H11" s="60">
        <v>-51</v>
      </c>
    </row>
    <row r="12" spans="1:18">
      <c r="A12" s="26" t="str">
        <f t="shared" si="0"/>
        <v>9</v>
      </c>
      <c r="B12" s="27">
        <v>9</v>
      </c>
      <c r="C12" s="28" t="str">
        <f t="shared" si="1"/>
        <v>00001001</v>
      </c>
      <c r="D12" s="30">
        <f t="shared" si="4"/>
        <v>-33.647058823529413</v>
      </c>
      <c r="F12" s="58" t="str">
        <f t="shared" si="2"/>
        <v>F9B</v>
      </c>
      <c r="G12" s="59">
        <f t="shared" si="3"/>
        <v>3995</v>
      </c>
      <c r="H12" s="60">
        <v>-50.5</v>
      </c>
    </row>
    <row r="13" spans="1:18">
      <c r="A13" s="26" t="str">
        <f t="shared" si="0"/>
        <v>A</v>
      </c>
      <c r="B13" s="27">
        <v>10</v>
      </c>
      <c r="C13" s="28" t="str">
        <f t="shared" si="1"/>
        <v>00001010</v>
      </c>
      <c r="D13" s="30">
        <f t="shared" si="4"/>
        <v>-32.941176470588232</v>
      </c>
      <c r="F13" s="58" t="str">
        <f t="shared" si="2"/>
        <v>F9C</v>
      </c>
      <c r="G13" s="59">
        <f t="shared" si="3"/>
        <v>3996</v>
      </c>
      <c r="H13" s="60">
        <v>-50</v>
      </c>
    </row>
    <row r="14" spans="1:18">
      <c r="A14" s="26" t="str">
        <f t="shared" si="0"/>
        <v>B</v>
      </c>
      <c r="B14" s="27">
        <v>11</v>
      </c>
      <c r="C14" s="28" t="str">
        <f t="shared" si="1"/>
        <v>00001011</v>
      </c>
      <c r="D14" s="30">
        <f t="shared" si="4"/>
        <v>-32.235294117647058</v>
      </c>
      <c r="F14" s="58" t="str">
        <f t="shared" si="2"/>
        <v>F9D</v>
      </c>
      <c r="G14" s="59">
        <f t="shared" si="3"/>
        <v>3997</v>
      </c>
      <c r="H14" s="60">
        <v>-49.5</v>
      </c>
    </row>
    <row r="15" spans="1:18">
      <c r="A15" s="26" t="str">
        <f t="shared" si="0"/>
        <v>C</v>
      </c>
      <c r="B15" s="27">
        <v>12</v>
      </c>
      <c r="C15" s="28" t="str">
        <f t="shared" si="1"/>
        <v>00001100</v>
      </c>
      <c r="D15" s="30">
        <f t="shared" si="4"/>
        <v>-31.529411764705884</v>
      </c>
      <c r="F15" s="58" t="str">
        <f t="shared" si="2"/>
        <v>F9E</v>
      </c>
      <c r="G15" s="59">
        <f t="shared" si="3"/>
        <v>3998</v>
      </c>
      <c r="H15" s="60">
        <v>-49</v>
      </c>
    </row>
    <row r="16" spans="1:18">
      <c r="A16" s="26" t="str">
        <f t="shared" si="0"/>
        <v>D</v>
      </c>
      <c r="B16" s="27">
        <v>13</v>
      </c>
      <c r="C16" s="28" t="str">
        <f t="shared" si="1"/>
        <v>00001101</v>
      </c>
      <c r="D16" s="30">
        <f t="shared" si="4"/>
        <v>-30.823529411764703</v>
      </c>
      <c r="F16" s="58" t="str">
        <f t="shared" si="2"/>
        <v>F9F</v>
      </c>
      <c r="G16" s="59">
        <f t="shared" si="3"/>
        <v>3999</v>
      </c>
      <c r="H16" s="60">
        <v>-48.5</v>
      </c>
    </row>
    <row r="17" spans="1:8">
      <c r="A17" s="26" t="str">
        <f t="shared" si="0"/>
        <v>E</v>
      </c>
      <c r="B17" s="27">
        <v>14</v>
      </c>
      <c r="C17" s="28" t="str">
        <f t="shared" si="1"/>
        <v>00001110</v>
      </c>
      <c r="D17" s="30">
        <f t="shared" si="4"/>
        <v>-30.117647058823529</v>
      </c>
      <c r="F17" s="58" t="str">
        <f t="shared" si="2"/>
        <v>FA0</v>
      </c>
      <c r="G17" s="59">
        <f t="shared" si="3"/>
        <v>4000</v>
      </c>
      <c r="H17" s="60">
        <v>-48</v>
      </c>
    </row>
    <row r="18" spans="1:8">
      <c r="A18" s="26" t="str">
        <f t="shared" si="0"/>
        <v>F</v>
      </c>
      <c r="B18" s="27">
        <v>15</v>
      </c>
      <c r="C18" s="28" t="str">
        <f t="shared" si="1"/>
        <v>00001111</v>
      </c>
      <c r="D18" s="30">
        <f t="shared" si="4"/>
        <v>-29.411764705882351</v>
      </c>
      <c r="F18" s="58" t="str">
        <f t="shared" si="2"/>
        <v>FA1</v>
      </c>
      <c r="G18" s="59">
        <f t="shared" si="3"/>
        <v>4001</v>
      </c>
      <c r="H18" s="60">
        <v>-47.5</v>
      </c>
    </row>
    <row r="19" spans="1:8">
      <c r="A19" s="26" t="str">
        <f t="shared" si="0"/>
        <v>10</v>
      </c>
      <c r="B19" s="27">
        <v>16</v>
      </c>
      <c r="C19" s="28" t="str">
        <f t="shared" si="1"/>
        <v>00010000</v>
      </c>
      <c r="D19" s="30">
        <f t="shared" si="4"/>
        <v>-28.705882352941174</v>
      </c>
      <c r="F19" s="58" t="str">
        <f t="shared" si="2"/>
        <v>FA2</v>
      </c>
      <c r="G19" s="59">
        <f t="shared" si="3"/>
        <v>4002</v>
      </c>
      <c r="H19" s="60">
        <v>-47</v>
      </c>
    </row>
    <row r="20" spans="1:8">
      <c r="A20" s="26" t="str">
        <f t="shared" si="0"/>
        <v>11</v>
      </c>
      <c r="B20" s="27">
        <v>17</v>
      </c>
      <c r="C20" s="28" t="str">
        <f t="shared" si="1"/>
        <v>00010001</v>
      </c>
      <c r="D20" s="30">
        <f t="shared" si="4"/>
        <v>-28</v>
      </c>
      <c r="F20" s="58" t="str">
        <f t="shared" si="2"/>
        <v>FA3</v>
      </c>
      <c r="G20" s="59">
        <f t="shared" si="3"/>
        <v>4003</v>
      </c>
      <c r="H20" s="60">
        <v>-46.5</v>
      </c>
    </row>
    <row r="21" spans="1:8">
      <c r="A21" s="26" t="str">
        <f t="shared" si="0"/>
        <v>12</v>
      </c>
      <c r="B21" s="27">
        <v>18</v>
      </c>
      <c r="C21" s="28" t="str">
        <f t="shared" si="1"/>
        <v>00010010</v>
      </c>
      <c r="D21" s="30">
        <f t="shared" si="4"/>
        <v>-27.294117647058822</v>
      </c>
      <c r="F21" s="58" t="str">
        <f t="shared" si="2"/>
        <v>FA4</v>
      </c>
      <c r="G21" s="59">
        <f t="shared" si="3"/>
        <v>4004</v>
      </c>
      <c r="H21" s="60">
        <v>-46</v>
      </c>
    </row>
    <row r="22" spans="1:8">
      <c r="A22" s="26" t="str">
        <f t="shared" si="0"/>
        <v>13</v>
      </c>
      <c r="B22" s="27">
        <v>19</v>
      </c>
      <c r="C22" s="28" t="str">
        <f t="shared" si="1"/>
        <v>00010011</v>
      </c>
      <c r="D22" s="30">
        <f t="shared" si="4"/>
        <v>-26.588235294117645</v>
      </c>
      <c r="F22" s="58" t="str">
        <f t="shared" si="2"/>
        <v>FA5</v>
      </c>
      <c r="G22" s="59">
        <f t="shared" si="3"/>
        <v>4005</v>
      </c>
      <c r="H22" s="60">
        <v>-45.5</v>
      </c>
    </row>
    <row r="23" spans="1:8">
      <c r="A23" s="26" t="str">
        <f t="shared" si="0"/>
        <v>14</v>
      </c>
      <c r="B23" s="27">
        <v>20</v>
      </c>
      <c r="C23" s="28" t="str">
        <f t="shared" si="1"/>
        <v>00010100</v>
      </c>
      <c r="D23" s="30">
        <f t="shared" si="4"/>
        <v>-25.882352941176471</v>
      </c>
      <c r="F23" s="58" t="str">
        <f t="shared" si="2"/>
        <v>FA6</v>
      </c>
      <c r="G23" s="59">
        <f t="shared" si="3"/>
        <v>4006</v>
      </c>
      <c r="H23" s="60">
        <v>-45</v>
      </c>
    </row>
    <row r="24" spans="1:8">
      <c r="A24" s="26" t="str">
        <f t="shared" si="0"/>
        <v>15</v>
      </c>
      <c r="B24" s="27">
        <v>21</v>
      </c>
      <c r="C24" s="28" t="str">
        <f t="shared" si="1"/>
        <v>00010101</v>
      </c>
      <c r="D24" s="30">
        <f t="shared" si="4"/>
        <v>-25.176470588235293</v>
      </c>
      <c r="F24" s="58" t="str">
        <f t="shared" si="2"/>
        <v>FA7</v>
      </c>
      <c r="G24" s="59">
        <f t="shared" si="3"/>
        <v>4007</v>
      </c>
      <c r="H24" s="60">
        <v>-44.5</v>
      </c>
    </row>
    <row r="25" spans="1:8">
      <c r="A25" s="26" t="str">
        <f t="shared" si="0"/>
        <v>16</v>
      </c>
      <c r="B25" s="27">
        <v>22</v>
      </c>
      <c r="C25" s="28" t="str">
        <f t="shared" si="1"/>
        <v>00010110</v>
      </c>
      <c r="D25" s="30">
        <f t="shared" si="4"/>
        <v>-24.470588235294116</v>
      </c>
      <c r="F25" s="58" t="str">
        <f t="shared" si="2"/>
        <v>FA8</v>
      </c>
      <c r="G25" s="59">
        <f t="shared" si="3"/>
        <v>4008</v>
      </c>
      <c r="H25" s="60">
        <v>-44</v>
      </c>
    </row>
    <row r="26" spans="1:8">
      <c r="A26" s="26" t="str">
        <f t="shared" si="0"/>
        <v>17</v>
      </c>
      <c r="B26" s="27">
        <v>23</v>
      </c>
      <c r="C26" s="28" t="str">
        <f t="shared" si="1"/>
        <v>00010111</v>
      </c>
      <c r="D26" s="30">
        <f t="shared" si="4"/>
        <v>-23.764705882352938</v>
      </c>
      <c r="F26" s="58" t="str">
        <f t="shared" si="2"/>
        <v>FA9</v>
      </c>
      <c r="G26" s="59">
        <f t="shared" si="3"/>
        <v>4009</v>
      </c>
      <c r="H26" s="60">
        <v>-43.5</v>
      </c>
    </row>
    <row r="27" spans="1:8">
      <c r="A27" s="26" t="str">
        <f t="shared" si="0"/>
        <v>18</v>
      </c>
      <c r="B27" s="27">
        <v>24</v>
      </c>
      <c r="C27" s="28" t="str">
        <f t="shared" si="1"/>
        <v>00011000</v>
      </c>
      <c r="D27" s="30">
        <f t="shared" si="4"/>
        <v>-23.058823529411764</v>
      </c>
      <c r="F27" s="58" t="str">
        <f t="shared" si="2"/>
        <v>FAA</v>
      </c>
      <c r="G27" s="59">
        <f t="shared" si="3"/>
        <v>4010</v>
      </c>
      <c r="H27" s="60">
        <v>-43</v>
      </c>
    </row>
    <row r="28" spans="1:8">
      <c r="A28" s="26" t="str">
        <f t="shared" si="0"/>
        <v>19</v>
      </c>
      <c r="B28" s="27">
        <v>25</v>
      </c>
      <c r="C28" s="28" t="str">
        <f t="shared" si="1"/>
        <v>00011001</v>
      </c>
      <c r="D28" s="30">
        <f t="shared" si="4"/>
        <v>-22.352941176470587</v>
      </c>
      <c r="F28" s="58" t="str">
        <f t="shared" si="2"/>
        <v>FAB</v>
      </c>
      <c r="G28" s="59">
        <f t="shared" si="3"/>
        <v>4011</v>
      </c>
      <c r="H28" s="60">
        <v>-42.5</v>
      </c>
    </row>
    <row r="29" spans="1:8">
      <c r="A29" s="26" t="str">
        <f t="shared" si="0"/>
        <v>1A</v>
      </c>
      <c r="B29" s="27">
        <v>26</v>
      </c>
      <c r="C29" s="28" t="str">
        <f t="shared" si="1"/>
        <v>00011010</v>
      </c>
      <c r="D29" s="30">
        <f t="shared" si="4"/>
        <v>-21.647058823529409</v>
      </c>
      <c r="F29" s="58" t="str">
        <f t="shared" si="2"/>
        <v>FAC</v>
      </c>
      <c r="G29" s="59">
        <f t="shared" si="3"/>
        <v>4012</v>
      </c>
      <c r="H29" s="60">
        <v>-42</v>
      </c>
    </row>
    <row r="30" spans="1:8">
      <c r="A30" s="26" t="str">
        <f t="shared" si="0"/>
        <v>1B</v>
      </c>
      <c r="B30" s="27">
        <v>27</v>
      </c>
      <c r="C30" s="28" t="str">
        <f t="shared" si="1"/>
        <v>00011011</v>
      </c>
      <c r="D30" s="30">
        <f t="shared" si="4"/>
        <v>-20.941176470588236</v>
      </c>
      <c r="F30" s="58" t="str">
        <f t="shared" si="2"/>
        <v>FAD</v>
      </c>
      <c r="G30" s="59">
        <f t="shared" si="3"/>
        <v>4013</v>
      </c>
      <c r="H30" s="60">
        <v>-41.5</v>
      </c>
    </row>
    <row r="31" spans="1:8">
      <c r="A31" s="26" t="str">
        <f t="shared" si="0"/>
        <v>1C</v>
      </c>
      <c r="B31" s="27">
        <v>28</v>
      </c>
      <c r="C31" s="28" t="str">
        <f t="shared" si="1"/>
        <v>00011100</v>
      </c>
      <c r="D31" s="30">
        <f t="shared" si="4"/>
        <v>-20.235294117647058</v>
      </c>
      <c r="F31" s="58" t="str">
        <f t="shared" si="2"/>
        <v>FAE</v>
      </c>
      <c r="G31" s="59">
        <f t="shared" si="3"/>
        <v>4014</v>
      </c>
      <c r="H31" s="60">
        <v>-41</v>
      </c>
    </row>
    <row r="32" spans="1:8">
      <c r="A32" s="26" t="str">
        <f t="shared" si="0"/>
        <v>1D</v>
      </c>
      <c r="B32" s="27">
        <v>29</v>
      </c>
      <c r="C32" s="28" t="str">
        <f t="shared" si="1"/>
        <v>00011101</v>
      </c>
      <c r="D32" s="30">
        <f t="shared" si="4"/>
        <v>-19.52941176470588</v>
      </c>
      <c r="F32" s="58" t="str">
        <f t="shared" si="2"/>
        <v>FAF</v>
      </c>
      <c r="G32" s="59">
        <f t="shared" si="3"/>
        <v>4015</v>
      </c>
      <c r="H32" s="60">
        <v>-40.5</v>
      </c>
    </row>
    <row r="33" spans="1:8">
      <c r="A33" s="26" t="str">
        <f t="shared" si="0"/>
        <v>1E</v>
      </c>
      <c r="B33" s="27">
        <v>30</v>
      </c>
      <c r="C33" s="28" t="str">
        <f t="shared" si="1"/>
        <v>00011110</v>
      </c>
      <c r="D33" s="30">
        <f t="shared" si="4"/>
        <v>-18.823529411764703</v>
      </c>
      <c r="F33" s="58" t="str">
        <f t="shared" si="2"/>
        <v>FB0</v>
      </c>
      <c r="G33" s="59">
        <f t="shared" si="3"/>
        <v>4016</v>
      </c>
      <c r="H33" s="60">
        <v>-40</v>
      </c>
    </row>
    <row r="34" spans="1:8">
      <c r="A34" s="26" t="str">
        <f t="shared" si="0"/>
        <v>1F</v>
      </c>
      <c r="B34" s="27">
        <v>31</v>
      </c>
      <c r="C34" s="28" t="str">
        <f t="shared" si="1"/>
        <v>00011111</v>
      </c>
      <c r="D34" s="30">
        <f t="shared" si="4"/>
        <v>-18.117647058823529</v>
      </c>
      <c r="F34" s="58" t="str">
        <f t="shared" si="2"/>
        <v>FB1</v>
      </c>
      <c r="G34" s="59">
        <f t="shared" si="3"/>
        <v>4017</v>
      </c>
      <c r="H34" s="60">
        <v>-39.5</v>
      </c>
    </row>
    <row r="35" spans="1:8">
      <c r="A35" s="26" t="str">
        <f t="shared" si="0"/>
        <v>20</v>
      </c>
      <c r="B35" s="27">
        <v>32</v>
      </c>
      <c r="C35" s="28" t="str">
        <f t="shared" si="1"/>
        <v>00100000</v>
      </c>
      <c r="D35" s="30">
        <f t="shared" si="4"/>
        <v>-17.411764705882351</v>
      </c>
      <c r="F35" s="58" t="str">
        <f t="shared" si="2"/>
        <v>FB2</v>
      </c>
      <c r="G35" s="59">
        <f t="shared" si="3"/>
        <v>4018</v>
      </c>
      <c r="H35" s="60">
        <v>-39</v>
      </c>
    </row>
    <row r="36" spans="1:8">
      <c r="A36" s="26" t="str">
        <f t="shared" si="0"/>
        <v>21</v>
      </c>
      <c r="B36" s="27">
        <v>33</v>
      </c>
      <c r="C36" s="28" t="str">
        <f t="shared" si="1"/>
        <v>00100001</v>
      </c>
      <c r="D36" s="30">
        <f t="shared" si="4"/>
        <v>-16.705882352941174</v>
      </c>
      <c r="F36" s="58" t="str">
        <f t="shared" si="2"/>
        <v>FB3</v>
      </c>
      <c r="G36" s="59">
        <f t="shared" si="3"/>
        <v>4019</v>
      </c>
      <c r="H36" s="60">
        <v>-38.5</v>
      </c>
    </row>
    <row r="37" spans="1:8">
      <c r="A37" s="26" t="str">
        <f t="shared" si="0"/>
        <v>22</v>
      </c>
      <c r="B37" s="27">
        <v>34</v>
      </c>
      <c r="C37" s="28" t="str">
        <f t="shared" si="1"/>
        <v>00100010</v>
      </c>
      <c r="D37" s="30">
        <f t="shared" si="4"/>
        <v>-16</v>
      </c>
      <c r="F37" s="58" t="str">
        <f t="shared" si="2"/>
        <v>FB4</v>
      </c>
      <c r="G37" s="59">
        <f t="shared" si="3"/>
        <v>4020</v>
      </c>
      <c r="H37" s="60">
        <v>-38</v>
      </c>
    </row>
    <row r="38" spans="1:8">
      <c r="A38" s="26" t="str">
        <f t="shared" si="0"/>
        <v>23</v>
      </c>
      <c r="B38" s="27">
        <v>35</v>
      </c>
      <c r="C38" s="28" t="str">
        <f t="shared" si="1"/>
        <v>00100011</v>
      </c>
      <c r="D38" s="30">
        <f t="shared" si="4"/>
        <v>-15.294117647058822</v>
      </c>
      <c r="F38" s="58" t="str">
        <f t="shared" si="2"/>
        <v>FB5</v>
      </c>
      <c r="G38" s="59">
        <f t="shared" si="3"/>
        <v>4021</v>
      </c>
      <c r="H38" s="60">
        <v>-37.5</v>
      </c>
    </row>
    <row r="39" spans="1:8">
      <c r="A39" s="26" t="str">
        <f t="shared" si="0"/>
        <v>24</v>
      </c>
      <c r="B39" s="27">
        <v>36</v>
      </c>
      <c r="C39" s="28" t="str">
        <f t="shared" si="1"/>
        <v>00100100</v>
      </c>
      <c r="D39" s="30">
        <f t="shared" si="4"/>
        <v>-14.588235294117645</v>
      </c>
      <c r="F39" s="58" t="str">
        <f t="shared" si="2"/>
        <v>FB6</v>
      </c>
      <c r="G39" s="59">
        <f t="shared" si="3"/>
        <v>4022</v>
      </c>
      <c r="H39" s="60">
        <v>-37</v>
      </c>
    </row>
    <row r="40" spans="1:8">
      <c r="A40" s="26" t="str">
        <f t="shared" si="0"/>
        <v>25</v>
      </c>
      <c r="B40" s="27">
        <v>37</v>
      </c>
      <c r="C40" s="28" t="str">
        <f t="shared" si="1"/>
        <v>00100101</v>
      </c>
      <c r="D40" s="30">
        <f t="shared" si="4"/>
        <v>-13.882352941176467</v>
      </c>
      <c r="F40" s="58" t="str">
        <f t="shared" si="2"/>
        <v>FB7</v>
      </c>
      <c r="G40" s="59">
        <f t="shared" si="3"/>
        <v>4023</v>
      </c>
      <c r="H40" s="60">
        <v>-36.5</v>
      </c>
    </row>
    <row r="41" spans="1:8">
      <c r="A41" s="26" t="str">
        <f t="shared" si="0"/>
        <v>26</v>
      </c>
      <c r="B41" s="27">
        <v>38</v>
      </c>
      <c r="C41" s="28" t="str">
        <f t="shared" si="1"/>
        <v>00100110</v>
      </c>
      <c r="D41" s="30">
        <f t="shared" si="4"/>
        <v>-13.176470588235293</v>
      </c>
      <c r="F41" s="58" t="str">
        <f t="shared" si="2"/>
        <v>FB8</v>
      </c>
      <c r="G41" s="59">
        <f t="shared" si="3"/>
        <v>4024</v>
      </c>
      <c r="H41" s="60">
        <v>-36</v>
      </c>
    </row>
    <row r="42" spans="1:8">
      <c r="A42" s="26" t="str">
        <f t="shared" si="0"/>
        <v>27</v>
      </c>
      <c r="B42" s="27">
        <v>39</v>
      </c>
      <c r="C42" s="28" t="str">
        <f t="shared" si="1"/>
        <v>00100111</v>
      </c>
      <c r="D42" s="30">
        <f t="shared" si="4"/>
        <v>-12.470588235294116</v>
      </c>
      <c r="F42" s="58" t="str">
        <f t="shared" si="2"/>
        <v>FB9</v>
      </c>
      <c r="G42" s="59">
        <f t="shared" si="3"/>
        <v>4025</v>
      </c>
      <c r="H42" s="60">
        <v>-35.5</v>
      </c>
    </row>
    <row r="43" spans="1:8">
      <c r="A43" s="26" t="str">
        <f t="shared" si="0"/>
        <v>28</v>
      </c>
      <c r="B43" s="27">
        <v>40</v>
      </c>
      <c r="C43" s="28" t="str">
        <f t="shared" si="1"/>
        <v>00101000</v>
      </c>
      <c r="D43" s="30">
        <f t="shared" si="4"/>
        <v>-11.764705882352938</v>
      </c>
      <c r="F43" s="58" t="str">
        <f t="shared" si="2"/>
        <v>FBA</v>
      </c>
      <c r="G43" s="59">
        <f t="shared" si="3"/>
        <v>4026</v>
      </c>
      <c r="H43" s="60">
        <v>-35</v>
      </c>
    </row>
    <row r="44" spans="1:8">
      <c r="A44" s="26" t="str">
        <f t="shared" si="0"/>
        <v>29</v>
      </c>
      <c r="B44" s="27">
        <v>41</v>
      </c>
      <c r="C44" s="28" t="str">
        <f t="shared" si="1"/>
        <v>00101001</v>
      </c>
      <c r="D44" s="30">
        <f t="shared" si="4"/>
        <v>-11.058823529411764</v>
      </c>
      <c r="F44" s="58" t="str">
        <f t="shared" si="2"/>
        <v>FBB</v>
      </c>
      <c r="G44" s="59">
        <f t="shared" si="3"/>
        <v>4027</v>
      </c>
      <c r="H44" s="60">
        <v>-34.5</v>
      </c>
    </row>
    <row r="45" spans="1:8">
      <c r="A45" s="26" t="str">
        <f t="shared" si="0"/>
        <v>2A</v>
      </c>
      <c r="B45" s="27">
        <v>42</v>
      </c>
      <c r="C45" s="28" t="str">
        <f t="shared" si="1"/>
        <v>00101010</v>
      </c>
      <c r="D45" s="30">
        <f t="shared" si="4"/>
        <v>-10.352941176470587</v>
      </c>
      <c r="F45" s="58" t="str">
        <f t="shared" si="2"/>
        <v>FBC</v>
      </c>
      <c r="G45" s="59">
        <f t="shared" si="3"/>
        <v>4028</v>
      </c>
      <c r="H45" s="60">
        <v>-34</v>
      </c>
    </row>
    <row r="46" spans="1:8">
      <c r="A46" s="26" t="str">
        <f t="shared" si="0"/>
        <v>2B</v>
      </c>
      <c r="B46" s="27">
        <v>43</v>
      </c>
      <c r="C46" s="28" t="str">
        <f t="shared" si="1"/>
        <v>00101011</v>
      </c>
      <c r="D46" s="30">
        <f t="shared" si="4"/>
        <v>-9.6470588235294095</v>
      </c>
      <c r="F46" s="58" t="str">
        <f t="shared" si="2"/>
        <v>FBD</v>
      </c>
      <c r="G46" s="59">
        <f t="shared" si="3"/>
        <v>4029</v>
      </c>
      <c r="H46" s="60">
        <v>-33.5</v>
      </c>
    </row>
    <row r="47" spans="1:8">
      <c r="A47" s="26" t="str">
        <f t="shared" si="0"/>
        <v>2C</v>
      </c>
      <c r="B47" s="27">
        <v>44</v>
      </c>
      <c r="C47" s="28" t="str">
        <f t="shared" si="1"/>
        <v>00101100</v>
      </c>
      <c r="D47" s="30">
        <f t="shared" si="4"/>
        <v>-8.941176470588232</v>
      </c>
      <c r="F47" s="58" t="str">
        <f t="shared" si="2"/>
        <v>FBE</v>
      </c>
      <c r="G47" s="59">
        <f t="shared" si="3"/>
        <v>4030</v>
      </c>
      <c r="H47" s="60">
        <v>-33</v>
      </c>
    </row>
    <row r="48" spans="1:8">
      <c r="A48" s="26" t="str">
        <f t="shared" si="0"/>
        <v>2D</v>
      </c>
      <c r="B48" s="27">
        <v>45</v>
      </c>
      <c r="C48" s="28" t="str">
        <f t="shared" si="1"/>
        <v>00101101</v>
      </c>
      <c r="D48" s="30">
        <f t="shared" si="4"/>
        <v>-8.235294117647058</v>
      </c>
      <c r="F48" s="58" t="str">
        <f t="shared" si="2"/>
        <v>FBF</v>
      </c>
      <c r="G48" s="59">
        <f t="shared" si="3"/>
        <v>4031</v>
      </c>
      <c r="H48" s="60">
        <v>-32.5</v>
      </c>
    </row>
    <row r="49" spans="1:8">
      <c r="A49" s="26" t="str">
        <f t="shared" si="0"/>
        <v>2E</v>
      </c>
      <c r="B49" s="27">
        <v>46</v>
      </c>
      <c r="C49" s="28" t="str">
        <f t="shared" si="1"/>
        <v>00101110</v>
      </c>
      <c r="D49" s="30">
        <f t="shared" si="4"/>
        <v>-7.5294117647058769</v>
      </c>
      <c r="F49" s="58" t="str">
        <f t="shared" si="2"/>
        <v>FC0</v>
      </c>
      <c r="G49" s="59">
        <f t="shared" si="3"/>
        <v>4032</v>
      </c>
      <c r="H49" s="60">
        <v>-32</v>
      </c>
    </row>
    <row r="50" spans="1:8">
      <c r="A50" s="26" t="str">
        <f t="shared" si="0"/>
        <v>2F</v>
      </c>
      <c r="B50" s="27">
        <v>47</v>
      </c>
      <c r="C50" s="28" t="str">
        <f t="shared" si="1"/>
        <v>00101111</v>
      </c>
      <c r="D50" s="30">
        <f t="shared" si="4"/>
        <v>-6.823529411764703</v>
      </c>
      <c r="F50" s="58" t="str">
        <f t="shared" si="2"/>
        <v>FC1</v>
      </c>
      <c r="G50" s="59">
        <f t="shared" si="3"/>
        <v>4033</v>
      </c>
      <c r="H50" s="60">
        <v>-31.5</v>
      </c>
    </row>
    <row r="51" spans="1:8">
      <c r="A51" s="26" t="str">
        <f t="shared" si="0"/>
        <v>30</v>
      </c>
      <c r="B51" s="27">
        <v>48</v>
      </c>
      <c r="C51" s="28" t="str">
        <f t="shared" si="1"/>
        <v>00110000</v>
      </c>
      <c r="D51" s="30">
        <f t="shared" si="4"/>
        <v>-6.117647058823529</v>
      </c>
      <c r="F51" s="58" t="str">
        <f t="shared" si="2"/>
        <v>FC2</v>
      </c>
      <c r="G51" s="59">
        <f t="shared" si="3"/>
        <v>4034</v>
      </c>
      <c r="H51" s="60">
        <v>-31</v>
      </c>
    </row>
    <row r="52" spans="1:8">
      <c r="A52" s="26" t="str">
        <f t="shared" si="0"/>
        <v>31</v>
      </c>
      <c r="B52" s="27">
        <v>49</v>
      </c>
      <c r="C52" s="28" t="str">
        <f t="shared" si="1"/>
        <v>00110001</v>
      </c>
      <c r="D52" s="30">
        <f t="shared" si="4"/>
        <v>-5.4117647058823479</v>
      </c>
      <c r="F52" s="58" t="str">
        <f t="shared" si="2"/>
        <v>FC3</v>
      </c>
      <c r="G52" s="59">
        <f t="shared" si="3"/>
        <v>4035</v>
      </c>
      <c r="H52" s="60">
        <v>-30.5</v>
      </c>
    </row>
    <row r="53" spans="1:8">
      <c r="A53" s="26" t="str">
        <f t="shared" si="0"/>
        <v>32</v>
      </c>
      <c r="B53" s="27">
        <v>50</v>
      </c>
      <c r="C53" s="28" t="str">
        <f t="shared" si="1"/>
        <v>00110010</v>
      </c>
      <c r="D53" s="30">
        <f t="shared" si="4"/>
        <v>-4.705882352941174</v>
      </c>
      <c r="F53" s="58" t="str">
        <f t="shared" si="2"/>
        <v>FC4</v>
      </c>
      <c r="G53" s="59">
        <f t="shared" si="3"/>
        <v>4036</v>
      </c>
      <c r="H53" s="60">
        <v>-30</v>
      </c>
    </row>
    <row r="54" spans="1:8">
      <c r="A54" s="26" t="str">
        <f t="shared" si="0"/>
        <v>33</v>
      </c>
      <c r="B54" s="27">
        <v>51</v>
      </c>
      <c r="C54" s="28" t="str">
        <f t="shared" si="1"/>
        <v>00110011</v>
      </c>
      <c r="D54" s="30">
        <f t="shared" si="4"/>
        <v>-4</v>
      </c>
      <c r="F54" s="58" t="str">
        <f t="shared" si="2"/>
        <v>FC5</v>
      </c>
      <c r="G54" s="59">
        <f t="shared" si="3"/>
        <v>4037</v>
      </c>
      <c r="H54" s="60">
        <v>-29.5</v>
      </c>
    </row>
    <row r="55" spans="1:8">
      <c r="A55" s="26" t="str">
        <f t="shared" si="0"/>
        <v>34</v>
      </c>
      <c r="B55" s="27">
        <v>52</v>
      </c>
      <c r="C55" s="28" t="str">
        <f t="shared" si="1"/>
        <v>00110100</v>
      </c>
      <c r="D55" s="30">
        <f t="shared" si="4"/>
        <v>-3.2941176470588189</v>
      </c>
      <c r="F55" s="58" t="str">
        <f t="shared" si="2"/>
        <v>FC6</v>
      </c>
      <c r="G55" s="59">
        <f t="shared" si="3"/>
        <v>4038</v>
      </c>
      <c r="H55" s="60">
        <v>-29</v>
      </c>
    </row>
    <row r="56" spans="1:8">
      <c r="A56" s="26" t="str">
        <f t="shared" si="0"/>
        <v>35</v>
      </c>
      <c r="B56" s="27">
        <v>53</v>
      </c>
      <c r="C56" s="28" t="str">
        <f t="shared" si="1"/>
        <v>00110101</v>
      </c>
      <c r="D56" s="30">
        <f t="shared" si="4"/>
        <v>-2.588235294117645</v>
      </c>
      <c r="F56" s="58" t="str">
        <f t="shared" si="2"/>
        <v>FC7</v>
      </c>
      <c r="G56" s="59">
        <f t="shared" si="3"/>
        <v>4039</v>
      </c>
      <c r="H56" s="60">
        <v>-28.5</v>
      </c>
    </row>
    <row r="57" spans="1:8">
      <c r="A57" s="26" t="str">
        <f t="shared" si="0"/>
        <v>36</v>
      </c>
      <c r="B57" s="27">
        <v>54</v>
      </c>
      <c r="C57" s="28" t="str">
        <f t="shared" si="1"/>
        <v>00110110</v>
      </c>
      <c r="D57" s="30">
        <f t="shared" si="4"/>
        <v>-1.882352941176471</v>
      </c>
      <c r="F57" s="58" t="str">
        <f t="shared" si="2"/>
        <v>FC8</v>
      </c>
      <c r="G57" s="59">
        <f t="shared" si="3"/>
        <v>4040</v>
      </c>
      <c r="H57" s="60">
        <v>-28</v>
      </c>
    </row>
    <row r="58" spans="1:8">
      <c r="A58" s="26" t="str">
        <f t="shared" si="0"/>
        <v>37</v>
      </c>
      <c r="B58" s="27">
        <v>55</v>
      </c>
      <c r="C58" s="28" t="str">
        <f t="shared" si="1"/>
        <v>00110111</v>
      </c>
      <c r="D58" s="30">
        <f t="shared" si="4"/>
        <v>-1.1764705882352899</v>
      </c>
      <c r="F58" s="58" t="str">
        <f t="shared" si="2"/>
        <v>FC9</v>
      </c>
      <c r="G58" s="59">
        <f t="shared" si="3"/>
        <v>4041</v>
      </c>
      <c r="H58" s="60">
        <v>-27.5</v>
      </c>
    </row>
    <row r="59" spans="1:8">
      <c r="A59" s="26" t="str">
        <f t="shared" si="0"/>
        <v>38</v>
      </c>
      <c r="B59" s="27">
        <v>56</v>
      </c>
      <c r="C59" s="28" t="str">
        <f t="shared" si="1"/>
        <v>00111000</v>
      </c>
      <c r="D59" s="30">
        <f t="shared" si="4"/>
        <v>-0.47058823529411598</v>
      </c>
      <c r="F59" s="58" t="str">
        <f t="shared" si="2"/>
        <v>FCA</v>
      </c>
      <c r="G59" s="59">
        <f t="shared" si="3"/>
        <v>4042</v>
      </c>
      <c r="H59" s="60">
        <v>-27</v>
      </c>
    </row>
    <row r="60" spans="1:8">
      <c r="A60" s="26" t="str">
        <f t="shared" si="0"/>
        <v>39</v>
      </c>
      <c r="B60" s="27">
        <v>57</v>
      </c>
      <c r="C60" s="28" t="str">
        <f t="shared" si="1"/>
        <v>00111001</v>
      </c>
      <c r="D60" s="30">
        <f t="shared" si="4"/>
        <v>0.23529411764705799</v>
      </c>
      <c r="F60" s="58" t="str">
        <f t="shared" si="2"/>
        <v>FCB</v>
      </c>
      <c r="G60" s="59">
        <f t="shared" si="3"/>
        <v>4043</v>
      </c>
      <c r="H60" s="60">
        <v>-26.5</v>
      </c>
    </row>
    <row r="61" spans="1:8">
      <c r="A61" s="26" t="str">
        <f t="shared" si="0"/>
        <v>3A</v>
      </c>
      <c r="B61" s="27">
        <v>58</v>
      </c>
      <c r="C61" s="28" t="str">
        <f t="shared" si="1"/>
        <v>00111010</v>
      </c>
      <c r="D61" s="30">
        <f t="shared" si="4"/>
        <v>0.94117647058823906</v>
      </c>
      <c r="F61" s="58" t="str">
        <f t="shared" si="2"/>
        <v>FCC</v>
      </c>
      <c r="G61" s="59">
        <f t="shared" si="3"/>
        <v>4044</v>
      </c>
      <c r="H61" s="60">
        <v>-26</v>
      </c>
    </row>
    <row r="62" spans="1:8">
      <c r="A62" s="26" t="str">
        <f t="shared" si="0"/>
        <v>3B</v>
      </c>
      <c r="B62" s="27">
        <v>59</v>
      </c>
      <c r="C62" s="28" t="str">
        <f t="shared" si="1"/>
        <v>00111011</v>
      </c>
      <c r="D62" s="30">
        <f t="shared" si="4"/>
        <v>1.647058823529413</v>
      </c>
      <c r="F62" s="58" t="str">
        <f t="shared" si="2"/>
        <v>FCD</v>
      </c>
      <c r="G62" s="59">
        <f t="shared" si="3"/>
        <v>4045</v>
      </c>
      <c r="H62" s="60">
        <v>-25.5</v>
      </c>
    </row>
    <row r="63" spans="1:8">
      <c r="A63" s="26" t="str">
        <f t="shared" si="0"/>
        <v>3C</v>
      </c>
      <c r="B63" s="27">
        <v>60</v>
      </c>
      <c r="C63" s="28" t="str">
        <f t="shared" si="1"/>
        <v>00111100</v>
      </c>
      <c r="D63" s="30">
        <f t="shared" si="4"/>
        <v>2.3529411764705941</v>
      </c>
      <c r="F63" s="58" t="str">
        <f t="shared" si="2"/>
        <v>FCE</v>
      </c>
      <c r="G63" s="59">
        <f t="shared" si="3"/>
        <v>4046</v>
      </c>
      <c r="H63" s="60">
        <v>-25</v>
      </c>
    </row>
    <row r="64" spans="1:8">
      <c r="A64" s="26" t="str">
        <f t="shared" si="0"/>
        <v>3D</v>
      </c>
      <c r="B64" s="27">
        <v>61</v>
      </c>
      <c r="C64" s="28" t="str">
        <f t="shared" si="1"/>
        <v>00111101</v>
      </c>
      <c r="D64" s="30">
        <f t="shared" si="4"/>
        <v>3.058823529411768</v>
      </c>
      <c r="F64" s="58" t="str">
        <f t="shared" si="2"/>
        <v>FCF</v>
      </c>
      <c r="G64" s="59">
        <f t="shared" si="3"/>
        <v>4047</v>
      </c>
      <c r="H64" s="60">
        <v>-24.5</v>
      </c>
    </row>
    <row r="65" spans="1:8">
      <c r="A65" s="26" t="str">
        <f t="shared" si="0"/>
        <v>3E</v>
      </c>
      <c r="B65" s="27">
        <v>62</v>
      </c>
      <c r="C65" s="28" t="str">
        <f t="shared" si="1"/>
        <v>00111110</v>
      </c>
      <c r="D65" s="30">
        <f t="shared" si="4"/>
        <v>3.764705882352942</v>
      </c>
      <c r="F65" s="58" t="str">
        <f t="shared" si="2"/>
        <v>FD0</v>
      </c>
      <c r="G65" s="59">
        <f t="shared" si="3"/>
        <v>4048</v>
      </c>
      <c r="H65" s="60">
        <v>-24</v>
      </c>
    </row>
    <row r="66" spans="1:8">
      <c r="A66" s="26" t="str">
        <f t="shared" si="0"/>
        <v>3F</v>
      </c>
      <c r="B66" s="27">
        <v>63</v>
      </c>
      <c r="C66" s="28" t="str">
        <f t="shared" si="1"/>
        <v>00111111</v>
      </c>
      <c r="D66" s="30">
        <f t="shared" si="4"/>
        <v>4.4705882352941231</v>
      </c>
      <c r="F66" s="58" t="str">
        <f t="shared" si="2"/>
        <v>FD1</v>
      </c>
      <c r="G66" s="59">
        <f t="shared" si="3"/>
        <v>4049</v>
      </c>
      <c r="H66" s="60">
        <v>-23.5</v>
      </c>
    </row>
    <row r="67" spans="1:8">
      <c r="A67" s="26" t="str">
        <f t="shared" si="0"/>
        <v>40</v>
      </c>
      <c r="B67" s="27">
        <v>64</v>
      </c>
      <c r="C67" s="28" t="str">
        <f t="shared" si="1"/>
        <v>01000000</v>
      </c>
      <c r="D67" s="30">
        <f t="shared" si="4"/>
        <v>5.176470588235297</v>
      </c>
      <c r="F67" s="58" t="str">
        <f t="shared" si="2"/>
        <v>FD2</v>
      </c>
      <c r="G67" s="59">
        <f t="shared" si="3"/>
        <v>4050</v>
      </c>
      <c r="H67" s="60">
        <v>-23</v>
      </c>
    </row>
    <row r="68" spans="1:8">
      <c r="A68" s="26" t="str">
        <f t="shared" ref="A68:A131" si="5">DEC2HEX(B68)</f>
        <v>41</v>
      </c>
      <c r="B68" s="27">
        <v>65</v>
      </c>
      <c r="C68" s="28" t="str">
        <f t="shared" ref="C68:C131" si="6">TEXT(DEC2BIN(B68),"00000000")</f>
        <v>01000001</v>
      </c>
      <c r="D68" s="30">
        <f t="shared" si="4"/>
        <v>5.882352941176471</v>
      </c>
      <c r="F68" s="58" t="str">
        <f t="shared" ref="F68:F131" si="7">DEC2HEX(G68)</f>
        <v>FD3</v>
      </c>
      <c r="G68" s="59">
        <f t="shared" ref="G68:G112" si="8">IF(H68&gt;0,2*H68,2*H68+4096)</f>
        <v>4051</v>
      </c>
      <c r="H68" s="60">
        <v>-22.5</v>
      </c>
    </row>
    <row r="69" spans="1:8">
      <c r="A69" s="26" t="str">
        <f t="shared" si="5"/>
        <v>42</v>
      </c>
      <c r="B69" s="27">
        <v>66</v>
      </c>
      <c r="C69" s="28" t="str">
        <f t="shared" si="6"/>
        <v>01000010</v>
      </c>
      <c r="D69" s="30">
        <f t="shared" ref="D69:D132" si="9">(180/255)*B69-40</f>
        <v>6.5882352941176521</v>
      </c>
      <c r="F69" s="58" t="str">
        <f t="shared" si="7"/>
        <v>FD4</v>
      </c>
      <c r="G69" s="59">
        <f t="shared" si="8"/>
        <v>4052</v>
      </c>
      <c r="H69" s="60">
        <v>-22</v>
      </c>
    </row>
    <row r="70" spans="1:8">
      <c r="A70" s="26" t="str">
        <f t="shared" si="5"/>
        <v>43</v>
      </c>
      <c r="B70" s="27">
        <v>67</v>
      </c>
      <c r="C70" s="28" t="str">
        <f t="shared" si="6"/>
        <v>01000011</v>
      </c>
      <c r="D70" s="30">
        <f t="shared" si="9"/>
        <v>7.294117647058826</v>
      </c>
      <c r="F70" s="58" t="str">
        <f t="shared" si="7"/>
        <v>FD5</v>
      </c>
      <c r="G70" s="59">
        <f t="shared" si="8"/>
        <v>4053</v>
      </c>
      <c r="H70" s="60">
        <v>-21.5</v>
      </c>
    </row>
    <row r="71" spans="1:8">
      <c r="A71" s="26" t="str">
        <f t="shared" si="5"/>
        <v>44</v>
      </c>
      <c r="B71" s="27">
        <v>68</v>
      </c>
      <c r="C71" s="28" t="str">
        <f t="shared" si="6"/>
        <v>01000100</v>
      </c>
      <c r="D71" s="30">
        <f t="shared" si="9"/>
        <v>8</v>
      </c>
      <c r="F71" s="58" t="str">
        <f t="shared" si="7"/>
        <v>FD6</v>
      </c>
      <c r="G71" s="59">
        <f t="shared" si="8"/>
        <v>4054</v>
      </c>
      <c r="H71" s="60">
        <v>-21</v>
      </c>
    </row>
    <row r="72" spans="1:8">
      <c r="A72" s="26" t="str">
        <f t="shared" si="5"/>
        <v>45</v>
      </c>
      <c r="B72" s="27">
        <v>69</v>
      </c>
      <c r="C72" s="28" t="str">
        <f t="shared" si="6"/>
        <v>01000101</v>
      </c>
      <c r="D72" s="30">
        <f t="shared" si="9"/>
        <v>8.7058823529411811</v>
      </c>
      <c r="F72" s="58" t="str">
        <f t="shared" si="7"/>
        <v>FD7</v>
      </c>
      <c r="G72" s="59">
        <f t="shared" si="8"/>
        <v>4055</v>
      </c>
      <c r="H72" s="60">
        <v>-20.5</v>
      </c>
    </row>
    <row r="73" spans="1:8">
      <c r="A73" s="26" t="str">
        <f t="shared" si="5"/>
        <v>46</v>
      </c>
      <c r="B73" s="27">
        <v>70</v>
      </c>
      <c r="C73" s="28" t="str">
        <f t="shared" si="6"/>
        <v>01000110</v>
      </c>
      <c r="D73" s="30">
        <f t="shared" si="9"/>
        <v>9.411764705882355</v>
      </c>
      <c r="F73" s="58" t="str">
        <f t="shared" si="7"/>
        <v>FD8</v>
      </c>
      <c r="G73" s="59">
        <f t="shared" si="8"/>
        <v>4056</v>
      </c>
      <c r="H73" s="60">
        <v>-20</v>
      </c>
    </row>
    <row r="74" spans="1:8">
      <c r="A74" s="26" t="str">
        <f t="shared" si="5"/>
        <v>47</v>
      </c>
      <c r="B74" s="27">
        <v>71</v>
      </c>
      <c r="C74" s="28" t="str">
        <f t="shared" si="6"/>
        <v>01000111</v>
      </c>
      <c r="D74" s="30">
        <f t="shared" si="9"/>
        <v>10.117647058823536</v>
      </c>
      <c r="F74" s="58" t="str">
        <f t="shared" si="7"/>
        <v>FD9</v>
      </c>
      <c r="G74" s="59">
        <f t="shared" si="8"/>
        <v>4057</v>
      </c>
      <c r="H74" s="60">
        <v>-19.5</v>
      </c>
    </row>
    <row r="75" spans="1:8">
      <c r="A75" s="26" t="str">
        <f t="shared" si="5"/>
        <v>48</v>
      </c>
      <c r="B75" s="27">
        <v>72</v>
      </c>
      <c r="C75" s="28" t="str">
        <f t="shared" si="6"/>
        <v>01001000</v>
      </c>
      <c r="D75" s="30">
        <f t="shared" si="9"/>
        <v>10.82352941176471</v>
      </c>
      <c r="F75" s="58" t="str">
        <f t="shared" si="7"/>
        <v>FDA</v>
      </c>
      <c r="G75" s="59">
        <f t="shared" si="8"/>
        <v>4058</v>
      </c>
      <c r="H75" s="60">
        <v>-19</v>
      </c>
    </row>
    <row r="76" spans="1:8">
      <c r="A76" s="26" t="str">
        <f t="shared" si="5"/>
        <v>49</v>
      </c>
      <c r="B76" s="27">
        <v>73</v>
      </c>
      <c r="C76" s="28" t="str">
        <f t="shared" si="6"/>
        <v>01001001</v>
      </c>
      <c r="D76" s="30">
        <f t="shared" si="9"/>
        <v>11.529411764705884</v>
      </c>
      <c r="F76" s="58" t="str">
        <f t="shared" si="7"/>
        <v>FDB</v>
      </c>
      <c r="G76" s="59">
        <f t="shared" si="8"/>
        <v>4059</v>
      </c>
      <c r="H76" s="60">
        <v>-18.5</v>
      </c>
    </row>
    <row r="77" spans="1:8">
      <c r="A77" s="26" t="str">
        <f t="shared" si="5"/>
        <v>4A</v>
      </c>
      <c r="B77" s="27">
        <v>74</v>
      </c>
      <c r="C77" s="28" t="str">
        <f t="shared" si="6"/>
        <v>01001010</v>
      </c>
      <c r="D77" s="30">
        <f t="shared" si="9"/>
        <v>12.235294117647065</v>
      </c>
      <c r="F77" s="58" t="str">
        <f t="shared" si="7"/>
        <v>FDC</v>
      </c>
      <c r="G77" s="59">
        <f t="shared" si="8"/>
        <v>4060</v>
      </c>
      <c r="H77" s="60">
        <v>-18</v>
      </c>
    </row>
    <row r="78" spans="1:8">
      <c r="A78" s="26" t="str">
        <f t="shared" si="5"/>
        <v>4B</v>
      </c>
      <c r="B78" s="27">
        <v>75</v>
      </c>
      <c r="C78" s="28" t="str">
        <f t="shared" si="6"/>
        <v>01001011</v>
      </c>
      <c r="D78" s="30">
        <f t="shared" si="9"/>
        <v>12.941176470588239</v>
      </c>
      <c r="F78" s="58" t="str">
        <f t="shared" si="7"/>
        <v>FDD</v>
      </c>
      <c r="G78" s="59">
        <f t="shared" si="8"/>
        <v>4061</v>
      </c>
      <c r="H78" s="60">
        <v>-17.5</v>
      </c>
    </row>
    <row r="79" spans="1:8">
      <c r="A79" s="26" t="str">
        <f t="shared" si="5"/>
        <v>4C</v>
      </c>
      <c r="B79" s="27">
        <v>76</v>
      </c>
      <c r="C79" s="28" t="str">
        <f t="shared" si="6"/>
        <v>01001100</v>
      </c>
      <c r="D79" s="30">
        <f t="shared" si="9"/>
        <v>13.647058823529413</v>
      </c>
      <c r="F79" s="58" t="str">
        <f t="shared" si="7"/>
        <v>FDE</v>
      </c>
      <c r="G79" s="59">
        <f t="shared" si="8"/>
        <v>4062</v>
      </c>
      <c r="H79" s="60">
        <v>-17</v>
      </c>
    </row>
    <row r="80" spans="1:8">
      <c r="A80" s="26" t="str">
        <f t="shared" si="5"/>
        <v>4D</v>
      </c>
      <c r="B80" s="27">
        <v>77</v>
      </c>
      <c r="C80" s="28" t="str">
        <f t="shared" si="6"/>
        <v>01001101</v>
      </c>
      <c r="D80" s="30">
        <f t="shared" si="9"/>
        <v>14.352941176470594</v>
      </c>
      <c r="F80" s="58" t="str">
        <f t="shared" si="7"/>
        <v>FDF</v>
      </c>
      <c r="G80" s="59">
        <f t="shared" si="8"/>
        <v>4063</v>
      </c>
      <c r="H80" s="60">
        <v>-16.5</v>
      </c>
    </row>
    <row r="81" spans="1:8">
      <c r="A81" s="26" t="str">
        <f t="shared" si="5"/>
        <v>4E</v>
      </c>
      <c r="B81" s="27">
        <v>78</v>
      </c>
      <c r="C81" s="28" t="str">
        <f t="shared" si="6"/>
        <v>01001110</v>
      </c>
      <c r="D81" s="30">
        <f t="shared" si="9"/>
        <v>15.058823529411768</v>
      </c>
      <c r="F81" s="58" t="str">
        <f t="shared" si="7"/>
        <v>FE0</v>
      </c>
      <c r="G81" s="59">
        <f t="shared" si="8"/>
        <v>4064</v>
      </c>
      <c r="H81" s="60">
        <v>-16</v>
      </c>
    </row>
    <row r="82" spans="1:8">
      <c r="A82" s="26" t="str">
        <f t="shared" si="5"/>
        <v>4F</v>
      </c>
      <c r="B82" s="27">
        <v>79</v>
      </c>
      <c r="C82" s="28" t="str">
        <f t="shared" si="6"/>
        <v>01001111</v>
      </c>
      <c r="D82" s="30">
        <f t="shared" si="9"/>
        <v>15.764705882352942</v>
      </c>
      <c r="F82" s="58" t="str">
        <f t="shared" si="7"/>
        <v>FE1</v>
      </c>
      <c r="G82" s="59">
        <f t="shared" si="8"/>
        <v>4065</v>
      </c>
      <c r="H82" s="60">
        <v>-15.5</v>
      </c>
    </row>
    <row r="83" spans="1:8">
      <c r="A83" s="26" t="str">
        <f t="shared" si="5"/>
        <v>50</v>
      </c>
      <c r="B83" s="27">
        <v>80</v>
      </c>
      <c r="C83" s="28" t="str">
        <f t="shared" si="6"/>
        <v>01010000</v>
      </c>
      <c r="D83" s="30">
        <f t="shared" si="9"/>
        <v>16.470588235294123</v>
      </c>
      <c r="F83" s="58" t="str">
        <f t="shared" si="7"/>
        <v>FE2</v>
      </c>
      <c r="G83" s="59">
        <f t="shared" si="8"/>
        <v>4066</v>
      </c>
      <c r="H83" s="60">
        <v>-15</v>
      </c>
    </row>
    <row r="84" spans="1:8">
      <c r="A84" s="26" t="str">
        <f t="shared" si="5"/>
        <v>51</v>
      </c>
      <c r="B84" s="27">
        <v>81</v>
      </c>
      <c r="C84" s="28" t="str">
        <f t="shared" si="6"/>
        <v>01010001</v>
      </c>
      <c r="D84" s="30">
        <f t="shared" si="9"/>
        <v>17.176470588235297</v>
      </c>
      <c r="F84" s="58" t="str">
        <f t="shared" si="7"/>
        <v>FE3</v>
      </c>
      <c r="G84" s="59">
        <f t="shared" si="8"/>
        <v>4067</v>
      </c>
      <c r="H84" s="60">
        <v>-14.5</v>
      </c>
    </row>
    <row r="85" spans="1:8">
      <c r="A85" s="26" t="str">
        <f t="shared" si="5"/>
        <v>52</v>
      </c>
      <c r="B85" s="27">
        <v>82</v>
      </c>
      <c r="C85" s="28" t="str">
        <f t="shared" si="6"/>
        <v>01010010</v>
      </c>
      <c r="D85" s="30">
        <f t="shared" si="9"/>
        <v>17.882352941176471</v>
      </c>
      <c r="F85" s="58" t="str">
        <f t="shared" si="7"/>
        <v>FE4</v>
      </c>
      <c r="G85" s="59">
        <f t="shared" si="8"/>
        <v>4068</v>
      </c>
      <c r="H85" s="60">
        <v>-14</v>
      </c>
    </row>
    <row r="86" spans="1:8">
      <c r="A86" s="26" t="str">
        <f t="shared" si="5"/>
        <v>53</v>
      </c>
      <c r="B86" s="27">
        <v>83</v>
      </c>
      <c r="C86" s="28" t="str">
        <f t="shared" si="6"/>
        <v>01010011</v>
      </c>
      <c r="D86" s="30">
        <f t="shared" si="9"/>
        <v>18.588235294117652</v>
      </c>
      <c r="F86" s="58" t="str">
        <f t="shared" si="7"/>
        <v>FE5</v>
      </c>
      <c r="G86" s="59">
        <f t="shared" si="8"/>
        <v>4069</v>
      </c>
      <c r="H86" s="60">
        <v>-13.5</v>
      </c>
    </row>
    <row r="87" spans="1:8">
      <c r="A87" s="26" t="str">
        <f t="shared" si="5"/>
        <v>54</v>
      </c>
      <c r="B87" s="27">
        <v>84</v>
      </c>
      <c r="C87" s="28" t="str">
        <f t="shared" si="6"/>
        <v>01010100</v>
      </c>
      <c r="D87" s="30">
        <f t="shared" si="9"/>
        <v>19.294117647058826</v>
      </c>
      <c r="F87" s="58" t="str">
        <f t="shared" si="7"/>
        <v>FE6</v>
      </c>
      <c r="G87" s="59">
        <f t="shared" si="8"/>
        <v>4070</v>
      </c>
      <c r="H87" s="60">
        <v>-13</v>
      </c>
    </row>
    <row r="88" spans="1:8">
      <c r="A88" s="26" t="str">
        <f t="shared" si="5"/>
        <v>55</v>
      </c>
      <c r="B88" s="27">
        <v>85</v>
      </c>
      <c r="C88" s="28" t="str">
        <f t="shared" si="6"/>
        <v>01010101</v>
      </c>
      <c r="D88" s="30">
        <f t="shared" si="9"/>
        <v>20.000000000000007</v>
      </c>
      <c r="F88" s="58" t="str">
        <f t="shared" si="7"/>
        <v>FE7</v>
      </c>
      <c r="G88" s="59">
        <f t="shared" si="8"/>
        <v>4071</v>
      </c>
      <c r="H88" s="60">
        <v>-12.5</v>
      </c>
    </row>
    <row r="89" spans="1:8">
      <c r="A89" s="26" t="str">
        <f t="shared" si="5"/>
        <v>56</v>
      </c>
      <c r="B89" s="27">
        <v>86</v>
      </c>
      <c r="C89" s="28" t="str">
        <f t="shared" si="6"/>
        <v>01010110</v>
      </c>
      <c r="D89" s="30">
        <f t="shared" si="9"/>
        <v>20.705882352941181</v>
      </c>
      <c r="F89" s="58" t="str">
        <f t="shared" si="7"/>
        <v>FE8</v>
      </c>
      <c r="G89" s="59">
        <f t="shared" si="8"/>
        <v>4072</v>
      </c>
      <c r="H89" s="60">
        <v>-12</v>
      </c>
    </row>
    <row r="90" spans="1:8">
      <c r="A90" s="26" t="str">
        <f t="shared" si="5"/>
        <v>57</v>
      </c>
      <c r="B90" s="27">
        <v>87</v>
      </c>
      <c r="C90" s="28" t="str">
        <f t="shared" si="6"/>
        <v>01010111</v>
      </c>
      <c r="D90" s="30">
        <f t="shared" si="9"/>
        <v>21.411764705882355</v>
      </c>
      <c r="F90" s="58" t="str">
        <f t="shared" si="7"/>
        <v>FE9</v>
      </c>
      <c r="G90" s="59">
        <f t="shared" si="8"/>
        <v>4073</v>
      </c>
      <c r="H90" s="60">
        <v>-11.5</v>
      </c>
    </row>
    <row r="91" spans="1:8">
      <c r="A91" s="26" t="str">
        <f t="shared" si="5"/>
        <v>58</v>
      </c>
      <c r="B91" s="27">
        <v>88</v>
      </c>
      <c r="C91" s="28" t="str">
        <f t="shared" si="6"/>
        <v>01011000</v>
      </c>
      <c r="D91" s="30">
        <f t="shared" si="9"/>
        <v>22.117647058823536</v>
      </c>
      <c r="F91" s="58" t="str">
        <f t="shared" si="7"/>
        <v>FEA</v>
      </c>
      <c r="G91" s="59">
        <f t="shared" si="8"/>
        <v>4074</v>
      </c>
      <c r="H91" s="60">
        <v>-11</v>
      </c>
    </row>
    <row r="92" spans="1:8">
      <c r="A92" s="26" t="str">
        <f t="shared" si="5"/>
        <v>59</v>
      </c>
      <c r="B92" s="27">
        <v>89</v>
      </c>
      <c r="C92" s="28" t="str">
        <f t="shared" si="6"/>
        <v>01011001</v>
      </c>
      <c r="D92" s="30">
        <f t="shared" si="9"/>
        <v>22.82352941176471</v>
      </c>
      <c r="F92" s="58" t="str">
        <f t="shared" si="7"/>
        <v>FEB</v>
      </c>
      <c r="G92" s="59">
        <f t="shared" si="8"/>
        <v>4075</v>
      </c>
      <c r="H92" s="60">
        <v>-10.5</v>
      </c>
    </row>
    <row r="93" spans="1:8">
      <c r="A93" s="26" t="str">
        <f t="shared" si="5"/>
        <v>5A</v>
      </c>
      <c r="B93" s="27">
        <v>90</v>
      </c>
      <c r="C93" s="28" t="str">
        <f t="shared" si="6"/>
        <v>01011010</v>
      </c>
      <c r="D93" s="30">
        <f t="shared" si="9"/>
        <v>23.529411764705884</v>
      </c>
      <c r="F93" s="58" t="str">
        <f t="shared" si="7"/>
        <v>FEC</v>
      </c>
      <c r="G93" s="59">
        <f t="shared" si="8"/>
        <v>4076</v>
      </c>
      <c r="H93" s="60">
        <v>-10</v>
      </c>
    </row>
    <row r="94" spans="1:8">
      <c r="A94" s="26" t="str">
        <f t="shared" si="5"/>
        <v>5B</v>
      </c>
      <c r="B94" s="27">
        <v>91</v>
      </c>
      <c r="C94" s="28" t="str">
        <f t="shared" si="6"/>
        <v>01011011</v>
      </c>
      <c r="D94" s="30">
        <f t="shared" si="9"/>
        <v>24.235294117647058</v>
      </c>
      <c r="F94" s="58" t="str">
        <f t="shared" si="7"/>
        <v>FED</v>
      </c>
      <c r="G94" s="59">
        <f t="shared" si="8"/>
        <v>4077</v>
      </c>
      <c r="H94" s="60">
        <v>-9.5</v>
      </c>
    </row>
    <row r="95" spans="1:8">
      <c r="A95" s="26" t="str">
        <f t="shared" si="5"/>
        <v>5C</v>
      </c>
      <c r="B95" s="27">
        <v>92</v>
      </c>
      <c r="C95" s="28" t="str">
        <f t="shared" si="6"/>
        <v>01011100</v>
      </c>
      <c r="D95" s="30">
        <f t="shared" si="9"/>
        <v>24.941176470588246</v>
      </c>
      <c r="F95" s="58" t="str">
        <f t="shared" si="7"/>
        <v>FEE</v>
      </c>
      <c r="G95" s="59">
        <f t="shared" si="8"/>
        <v>4078</v>
      </c>
      <c r="H95" s="60">
        <v>-9</v>
      </c>
    </row>
    <row r="96" spans="1:8">
      <c r="A96" s="26" t="str">
        <f t="shared" si="5"/>
        <v>5D</v>
      </c>
      <c r="B96" s="27">
        <v>93</v>
      </c>
      <c r="C96" s="28" t="str">
        <f t="shared" si="6"/>
        <v>01011101</v>
      </c>
      <c r="D96" s="30">
        <f t="shared" si="9"/>
        <v>25.64705882352942</v>
      </c>
      <c r="F96" s="58" t="str">
        <f t="shared" si="7"/>
        <v>FEF</v>
      </c>
      <c r="G96" s="59">
        <f t="shared" si="8"/>
        <v>4079</v>
      </c>
      <c r="H96" s="60">
        <v>-8.5</v>
      </c>
    </row>
    <row r="97" spans="1:8">
      <c r="A97" s="26" t="str">
        <f t="shared" si="5"/>
        <v>5E</v>
      </c>
      <c r="B97" s="27">
        <v>94</v>
      </c>
      <c r="C97" s="28" t="str">
        <f t="shared" si="6"/>
        <v>01011110</v>
      </c>
      <c r="D97" s="30">
        <f t="shared" si="9"/>
        <v>26.352941176470594</v>
      </c>
      <c r="F97" s="58" t="str">
        <f t="shared" si="7"/>
        <v>FF0</v>
      </c>
      <c r="G97" s="59">
        <f t="shared" si="8"/>
        <v>4080</v>
      </c>
      <c r="H97" s="60">
        <v>-8</v>
      </c>
    </row>
    <row r="98" spans="1:8">
      <c r="A98" s="26" t="str">
        <f t="shared" si="5"/>
        <v>5F</v>
      </c>
      <c r="B98" s="27">
        <v>95</v>
      </c>
      <c r="C98" s="28" t="str">
        <f t="shared" si="6"/>
        <v>01011111</v>
      </c>
      <c r="D98" s="30">
        <f t="shared" si="9"/>
        <v>27.058823529411768</v>
      </c>
      <c r="F98" s="58" t="str">
        <f t="shared" si="7"/>
        <v>FF1</v>
      </c>
      <c r="G98" s="59">
        <f t="shared" si="8"/>
        <v>4081</v>
      </c>
      <c r="H98" s="60">
        <v>-7.5</v>
      </c>
    </row>
    <row r="99" spans="1:8">
      <c r="A99" s="26" t="str">
        <f t="shared" si="5"/>
        <v>60</v>
      </c>
      <c r="B99" s="27">
        <v>96</v>
      </c>
      <c r="C99" s="28" t="str">
        <f t="shared" si="6"/>
        <v>01100000</v>
      </c>
      <c r="D99" s="30">
        <f t="shared" si="9"/>
        <v>27.764705882352942</v>
      </c>
      <c r="F99" s="58" t="str">
        <f t="shared" si="7"/>
        <v>FF2</v>
      </c>
      <c r="G99" s="59">
        <f t="shared" si="8"/>
        <v>4082</v>
      </c>
      <c r="H99" s="60">
        <v>-7</v>
      </c>
    </row>
    <row r="100" spans="1:8">
      <c r="A100" s="26" t="str">
        <f t="shared" si="5"/>
        <v>61</v>
      </c>
      <c r="B100" s="27">
        <v>97</v>
      </c>
      <c r="C100" s="28" t="str">
        <f t="shared" si="6"/>
        <v>01100001</v>
      </c>
      <c r="D100" s="30">
        <f t="shared" si="9"/>
        <v>28.470588235294116</v>
      </c>
      <c r="F100" s="58" t="str">
        <f t="shared" si="7"/>
        <v>FF3</v>
      </c>
      <c r="G100" s="59">
        <f t="shared" si="8"/>
        <v>4083</v>
      </c>
      <c r="H100" s="60">
        <v>-6.5</v>
      </c>
    </row>
    <row r="101" spans="1:8">
      <c r="A101" s="26" t="str">
        <f t="shared" si="5"/>
        <v>62</v>
      </c>
      <c r="B101" s="27">
        <v>98</v>
      </c>
      <c r="C101" s="28" t="str">
        <f t="shared" si="6"/>
        <v>01100010</v>
      </c>
      <c r="D101" s="30">
        <f t="shared" si="9"/>
        <v>29.176470588235304</v>
      </c>
      <c r="F101" s="58" t="str">
        <f t="shared" si="7"/>
        <v>FF4</v>
      </c>
      <c r="G101" s="59">
        <f t="shared" si="8"/>
        <v>4084</v>
      </c>
      <c r="H101" s="60">
        <v>-6</v>
      </c>
    </row>
    <row r="102" spans="1:8">
      <c r="A102" s="26" t="str">
        <f t="shared" si="5"/>
        <v>63</v>
      </c>
      <c r="B102" s="27">
        <v>99</v>
      </c>
      <c r="C102" s="28" t="str">
        <f t="shared" si="6"/>
        <v>01100011</v>
      </c>
      <c r="D102" s="30">
        <f t="shared" si="9"/>
        <v>29.882352941176478</v>
      </c>
      <c r="F102" s="58" t="str">
        <f t="shared" si="7"/>
        <v>FF5</v>
      </c>
      <c r="G102" s="59">
        <f t="shared" si="8"/>
        <v>4085</v>
      </c>
      <c r="H102" s="60">
        <v>-5.5</v>
      </c>
    </row>
    <row r="103" spans="1:8">
      <c r="A103" s="26" t="str">
        <f t="shared" si="5"/>
        <v>64</v>
      </c>
      <c r="B103" s="27">
        <v>100</v>
      </c>
      <c r="C103" s="28" t="str">
        <f t="shared" si="6"/>
        <v>01100100</v>
      </c>
      <c r="D103" s="30">
        <f t="shared" si="9"/>
        <v>30.588235294117652</v>
      </c>
      <c r="F103" s="58" t="str">
        <f t="shared" si="7"/>
        <v>FF6</v>
      </c>
      <c r="G103" s="59">
        <f t="shared" si="8"/>
        <v>4086</v>
      </c>
      <c r="H103" s="60">
        <v>-5</v>
      </c>
    </row>
    <row r="104" spans="1:8">
      <c r="A104" s="26" t="str">
        <f t="shared" si="5"/>
        <v>65</v>
      </c>
      <c r="B104" s="27">
        <v>101</v>
      </c>
      <c r="C104" s="28" t="str">
        <f t="shared" si="6"/>
        <v>01100101</v>
      </c>
      <c r="D104" s="30">
        <f t="shared" si="9"/>
        <v>31.294117647058826</v>
      </c>
      <c r="F104" s="58" t="str">
        <f t="shared" si="7"/>
        <v>FF7</v>
      </c>
      <c r="G104" s="59">
        <f t="shared" si="8"/>
        <v>4087</v>
      </c>
      <c r="H104" s="60">
        <v>-4.5</v>
      </c>
    </row>
    <row r="105" spans="1:8">
      <c r="A105" s="26" t="str">
        <f t="shared" si="5"/>
        <v>66</v>
      </c>
      <c r="B105" s="27">
        <v>102</v>
      </c>
      <c r="C105" s="28" t="str">
        <f t="shared" si="6"/>
        <v>01100110</v>
      </c>
      <c r="D105" s="30">
        <f t="shared" si="9"/>
        <v>32</v>
      </c>
      <c r="F105" s="58" t="str">
        <f t="shared" si="7"/>
        <v>FF8</v>
      </c>
      <c r="G105" s="59">
        <f t="shared" si="8"/>
        <v>4088</v>
      </c>
      <c r="H105" s="60">
        <v>-4</v>
      </c>
    </row>
    <row r="106" spans="1:8">
      <c r="A106" s="26" t="str">
        <f t="shared" si="5"/>
        <v>67</v>
      </c>
      <c r="B106" s="27">
        <v>103</v>
      </c>
      <c r="C106" s="28" t="str">
        <f t="shared" si="6"/>
        <v>01100111</v>
      </c>
      <c r="D106" s="30">
        <f t="shared" si="9"/>
        <v>32.705882352941188</v>
      </c>
      <c r="F106" s="58" t="str">
        <f t="shared" si="7"/>
        <v>FF9</v>
      </c>
      <c r="G106" s="59">
        <f t="shared" si="8"/>
        <v>4089</v>
      </c>
      <c r="H106" s="60">
        <v>-3.5</v>
      </c>
    </row>
    <row r="107" spans="1:8">
      <c r="A107" s="26" t="str">
        <f t="shared" si="5"/>
        <v>68</v>
      </c>
      <c r="B107" s="27">
        <v>104</v>
      </c>
      <c r="C107" s="28" t="str">
        <f t="shared" si="6"/>
        <v>01101000</v>
      </c>
      <c r="D107" s="30">
        <f t="shared" si="9"/>
        <v>33.411764705882362</v>
      </c>
      <c r="F107" s="58" t="str">
        <f t="shared" si="7"/>
        <v>FFA</v>
      </c>
      <c r="G107" s="59">
        <f t="shared" si="8"/>
        <v>4090</v>
      </c>
      <c r="H107" s="60">
        <v>-3</v>
      </c>
    </row>
    <row r="108" spans="1:8">
      <c r="A108" s="26" t="str">
        <f t="shared" si="5"/>
        <v>69</v>
      </c>
      <c r="B108" s="27">
        <v>105</v>
      </c>
      <c r="C108" s="28" t="str">
        <f t="shared" si="6"/>
        <v>01101001</v>
      </c>
      <c r="D108" s="30">
        <f t="shared" si="9"/>
        <v>34.117647058823536</v>
      </c>
      <c r="F108" s="58" t="str">
        <f t="shared" si="7"/>
        <v>FFB</v>
      </c>
      <c r="G108" s="59">
        <f t="shared" si="8"/>
        <v>4091</v>
      </c>
      <c r="H108" s="60">
        <v>-2.5</v>
      </c>
    </row>
    <row r="109" spans="1:8">
      <c r="A109" s="26" t="str">
        <f t="shared" si="5"/>
        <v>6A</v>
      </c>
      <c r="B109" s="27">
        <v>106</v>
      </c>
      <c r="C109" s="28" t="str">
        <f t="shared" si="6"/>
        <v>01101010</v>
      </c>
      <c r="D109" s="30">
        <f t="shared" si="9"/>
        <v>34.82352941176471</v>
      </c>
      <c r="F109" s="58" t="str">
        <f t="shared" si="7"/>
        <v>FFC</v>
      </c>
      <c r="G109" s="59">
        <f t="shared" si="8"/>
        <v>4092</v>
      </c>
      <c r="H109" s="60">
        <v>-2</v>
      </c>
    </row>
    <row r="110" spans="1:8">
      <c r="A110" s="26" t="str">
        <f t="shared" si="5"/>
        <v>6B</v>
      </c>
      <c r="B110" s="27">
        <v>107</v>
      </c>
      <c r="C110" s="28" t="str">
        <f t="shared" si="6"/>
        <v>01101011</v>
      </c>
      <c r="D110" s="30">
        <f t="shared" si="9"/>
        <v>35.529411764705884</v>
      </c>
      <c r="F110" s="58" t="str">
        <f t="shared" si="7"/>
        <v>FFD</v>
      </c>
      <c r="G110" s="59">
        <f t="shared" si="8"/>
        <v>4093</v>
      </c>
      <c r="H110" s="60">
        <v>-1.5</v>
      </c>
    </row>
    <row r="111" spans="1:8">
      <c r="A111" s="26" t="str">
        <f t="shared" si="5"/>
        <v>6C</v>
      </c>
      <c r="B111" s="27">
        <v>108</v>
      </c>
      <c r="C111" s="28" t="str">
        <f t="shared" si="6"/>
        <v>01101100</v>
      </c>
      <c r="D111" s="30">
        <f t="shared" si="9"/>
        <v>36.235294117647058</v>
      </c>
      <c r="F111" s="58" t="str">
        <f t="shared" si="7"/>
        <v>FFE</v>
      </c>
      <c r="G111" s="59">
        <f t="shared" si="8"/>
        <v>4094</v>
      </c>
      <c r="H111" s="60">
        <v>-1</v>
      </c>
    </row>
    <row r="112" spans="1:8">
      <c r="A112" s="26" t="str">
        <f t="shared" si="5"/>
        <v>6D</v>
      </c>
      <c r="B112" s="27">
        <v>109</v>
      </c>
      <c r="C112" s="28" t="str">
        <f t="shared" si="6"/>
        <v>01101101</v>
      </c>
      <c r="D112" s="30">
        <f t="shared" si="9"/>
        <v>36.941176470588246</v>
      </c>
      <c r="F112" s="58" t="str">
        <f t="shared" si="7"/>
        <v>FFF</v>
      </c>
      <c r="G112" s="59">
        <f t="shared" si="8"/>
        <v>4095</v>
      </c>
      <c r="H112" s="60">
        <v>-0.5</v>
      </c>
    </row>
    <row r="113" spans="1:8">
      <c r="A113" s="26" t="str">
        <f t="shared" si="5"/>
        <v>6E</v>
      </c>
      <c r="B113" s="27">
        <v>110</v>
      </c>
      <c r="C113" s="28" t="str">
        <f t="shared" si="6"/>
        <v>01101110</v>
      </c>
      <c r="D113" s="30">
        <f t="shared" si="9"/>
        <v>37.64705882352942</v>
      </c>
      <c r="F113" s="58" t="str">
        <f t="shared" si="7"/>
        <v>0</v>
      </c>
      <c r="G113" s="59">
        <f>IF(H113&gt;=0,2*H113,2*H113+4096)</f>
        <v>0</v>
      </c>
      <c r="H113" s="60">
        <v>0</v>
      </c>
    </row>
    <row r="114" spans="1:8">
      <c r="A114" s="26" t="str">
        <f t="shared" si="5"/>
        <v>6F</v>
      </c>
      <c r="B114" s="27">
        <v>111</v>
      </c>
      <c r="C114" s="28" t="str">
        <f t="shared" si="6"/>
        <v>01101111</v>
      </c>
      <c r="D114" s="30">
        <f t="shared" si="9"/>
        <v>38.352941176470594</v>
      </c>
      <c r="F114" s="58" t="str">
        <f t="shared" si="7"/>
        <v>1</v>
      </c>
      <c r="G114" s="59">
        <f t="shared" ref="G114:G131" si="10">IF(H114&gt;0,2*H114,2*H114+4096)</f>
        <v>1</v>
      </c>
      <c r="H114" s="60">
        <v>0.5</v>
      </c>
    </row>
    <row r="115" spans="1:8">
      <c r="A115" s="26" t="str">
        <f t="shared" si="5"/>
        <v>70</v>
      </c>
      <c r="B115" s="27">
        <v>112</v>
      </c>
      <c r="C115" s="28" t="str">
        <f t="shared" si="6"/>
        <v>01110000</v>
      </c>
      <c r="D115" s="30">
        <f t="shared" si="9"/>
        <v>39.058823529411768</v>
      </c>
      <c r="F115" s="58" t="str">
        <f t="shared" si="7"/>
        <v>2</v>
      </c>
      <c r="G115" s="59">
        <f t="shared" si="10"/>
        <v>2</v>
      </c>
      <c r="H115" s="60">
        <v>1</v>
      </c>
    </row>
    <row r="116" spans="1:8">
      <c r="A116" s="26" t="str">
        <f t="shared" si="5"/>
        <v>71</v>
      </c>
      <c r="B116" s="27">
        <v>113</v>
      </c>
      <c r="C116" s="28" t="str">
        <f t="shared" si="6"/>
        <v>01110001</v>
      </c>
      <c r="D116" s="30">
        <f t="shared" si="9"/>
        <v>39.764705882352942</v>
      </c>
      <c r="F116" s="58" t="str">
        <f t="shared" si="7"/>
        <v>3</v>
      </c>
      <c r="G116" s="59">
        <f t="shared" si="10"/>
        <v>3</v>
      </c>
      <c r="H116" s="60">
        <v>1.5</v>
      </c>
    </row>
    <row r="117" spans="1:8">
      <c r="A117" s="26" t="str">
        <f t="shared" si="5"/>
        <v>72</v>
      </c>
      <c r="B117" s="27">
        <v>114</v>
      </c>
      <c r="C117" s="28" t="str">
        <f t="shared" si="6"/>
        <v>01110010</v>
      </c>
      <c r="D117" s="30">
        <f t="shared" si="9"/>
        <v>40.470588235294116</v>
      </c>
      <c r="F117" s="58" t="str">
        <f t="shared" si="7"/>
        <v>4</v>
      </c>
      <c r="G117" s="59">
        <f t="shared" si="10"/>
        <v>4</v>
      </c>
      <c r="H117" s="60">
        <v>2</v>
      </c>
    </row>
    <row r="118" spans="1:8">
      <c r="A118" s="26" t="str">
        <f t="shared" si="5"/>
        <v>73</v>
      </c>
      <c r="B118" s="27">
        <v>115</v>
      </c>
      <c r="C118" s="28" t="str">
        <f t="shared" si="6"/>
        <v>01110011</v>
      </c>
      <c r="D118" s="30">
        <f t="shared" si="9"/>
        <v>41.176470588235304</v>
      </c>
      <c r="F118" s="58" t="str">
        <f t="shared" si="7"/>
        <v>5</v>
      </c>
      <c r="G118" s="59">
        <f t="shared" si="10"/>
        <v>5</v>
      </c>
      <c r="H118" s="60">
        <v>2.5</v>
      </c>
    </row>
    <row r="119" spans="1:8">
      <c r="A119" s="26" t="str">
        <f t="shared" si="5"/>
        <v>74</v>
      </c>
      <c r="B119" s="27">
        <v>116</v>
      </c>
      <c r="C119" s="28" t="str">
        <f t="shared" si="6"/>
        <v>01110100</v>
      </c>
      <c r="D119" s="30">
        <f t="shared" si="9"/>
        <v>41.882352941176478</v>
      </c>
      <c r="F119" s="58" t="str">
        <f t="shared" si="7"/>
        <v>6</v>
      </c>
      <c r="G119" s="59">
        <f t="shared" si="10"/>
        <v>6</v>
      </c>
      <c r="H119" s="60">
        <v>3</v>
      </c>
    </row>
    <row r="120" spans="1:8">
      <c r="A120" s="26" t="str">
        <f t="shared" si="5"/>
        <v>75</v>
      </c>
      <c r="B120" s="27">
        <v>117</v>
      </c>
      <c r="C120" s="28" t="str">
        <f t="shared" si="6"/>
        <v>01110101</v>
      </c>
      <c r="D120" s="30">
        <f t="shared" si="9"/>
        <v>42.588235294117652</v>
      </c>
      <c r="F120" s="58" t="str">
        <f t="shared" si="7"/>
        <v>7</v>
      </c>
      <c r="G120" s="59">
        <f t="shared" si="10"/>
        <v>7</v>
      </c>
      <c r="H120" s="60">
        <v>3.5</v>
      </c>
    </row>
    <row r="121" spans="1:8">
      <c r="A121" s="26" t="str">
        <f t="shared" si="5"/>
        <v>76</v>
      </c>
      <c r="B121" s="27">
        <v>118</v>
      </c>
      <c r="C121" s="28" t="str">
        <f t="shared" si="6"/>
        <v>01110110</v>
      </c>
      <c r="D121" s="30">
        <f t="shared" si="9"/>
        <v>43.294117647058826</v>
      </c>
      <c r="F121" s="58" t="str">
        <f t="shared" si="7"/>
        <v>8</v>
      </c>
      <c r="G121" s="59">
        <f t="shared" si="10"/>
        <v>8</v>
      </c>
      <c r="H121" s="60">
        <v>4</v>
      </c>
    </row>
    <row r="122" spans="1:8">
      <c r="A122" s="26" t="str">
        <f t="shared" si="5"/>
        <v>77</v>
      </c>
      <c r="B122" s="27">
        <v>119</v>
      </c>
      <c r="C122" s="28" t="str">
        <f t="shared" si="6"/>
        <v>01110111</v>
      </c>
      <c r="D122" s="30">
        <f t="shared" si="9"/>
        <v>44</v>
      </c>
      <c r="F122" s="58" t="str">
        <f t="shared" si="7"/>
        <v>9</v>
      </c>
      <c r="G122" s="59">
        <f t="shared" si="10"/>
        <v>9</v>
      </c>
      <c r="H122" s="60">
        <v>4.5</v>
      </c>
    </row>
    <row r="123" spans="1:8">
      <c r="A123" s="26" t="str">
        <f t="shared" si="5"/>
        <v>78</v>
      </c>
      <c r="B123" s="27">
        <v>120</v>
      </c>
      <c r="C123" s="28" t="str">
        <f t="shared" si="6"/>
        <v>01111000</v>
      </c>
      <c r="D123" s="30">
        <f t="shared" si="9"/>
        <v>44.705882352941188</v>
      </c>
      <c r="F123" s="58" t="str">
        <f t="shared" si="7"/>
        <v>A</v>
      </c>
      <c r="G123" s="59">
        <f t="shared" si="10"/>
        <v>10</v>
      </c>
      <c r="H123" s="60">
        <v>5</v>
      </c>
    </row>
    <row r="124" spans="1:8">
      <c r="A124" s="26" t="str">
        <f t="shared" si="5"/>
        <v>79</v>
      </c>
      <c r="B124" s="27">
        <v>121</v>
      </c>
      <c r="C124" s="28" t="str">
        <f t="shared" si="6"/>
        <v>01111001</v>
      </c>
      <c r="D124" s="30">
        <f t="shared" si="9"/>
        <v>45.411764705882362</v>
      </c>
      <c r="F124" s="58" t="str">
        <f t="shared" si="7"/>
        <v>B</v>
      </c>
      <c r="G124" s="59">
        <f t="shared" si="10"/>
        <v>11</v>
      </c>
      <c r="H124" s="60">
        <v>5.5</v>
      </c>
    </row>
    <row r="125" spans="1:8">
      <c r="A125" s="26" t="str">
        <f t="shared" si="5"/>
        <v>7A</v>
      </c>
      <c r="B125" s="27">
        <v>122</v>
      </c>
      <c r="C125" s="28" t="str">
        <f t="shared" si="6"/>
        <v>01111010</v>
      </c>
      <c r="D125" s="30">
        <f t="shared" si="9"/>
        <v>46.117647058823536</v>
      </c>
      <c r="F125" s="58" t="str">
        <f t="shared" si="7"/>
        <v>C</v>
      </c>
      <c r="G125" s="59">
        <f t="shared" si="10"/>
        <v>12</v>
      </c>
      <c r="H125" s="60">
        <v>6</v>
      </c>
    </row>
    <row r="126" spans="1:8">
      <c r="A126" s="26" t="str">
        <f t="shared" si="5"/>
        <v>7B</v>
      </c>
      <c r="B126" s="27">
        <v>123</v>
      </c>
      <c r="C126" s="28" t="str">
        <f t="shared" si="6"/>
        <v>01111011</v>
      </c>
      <c r="D126" s="30">
        <f t="shared" si="9"/>
        <v>46.82352941176471</v>
      </c>
      <c r="F126" s="58" t="str">
        <f t="shared" si="7"/>
        <v>D</v>
      </c>
      <c r="G126" s="59">
        <f t="shared" si="10"/>
        <v>13</v>
      </c>
      <c r="H126" s="60">
        <v>6.5</v>
      </c>
    </row>
    <row r="127" spans="1:8">
      <c r="A127" s="26" t="str">
        <f t="shared" si="5"/>
        <v>7C</v>
      </c>
      <c r="B127" s="27">
        <v>124</v>
      </c>
      <c r="C127" s="28" t="str">
        <f t="shared" si="6"/>
        <v>01111100</v>
      </c>
      <c r="D127" s="30">
        <f t="shared" si="9"/>
        <v>47.529411764705884</v>
      </c>
      <c r="F127" s="58" t="str">
        <f t="shared" si="7"/>
        <v>E</v>
      </c>
      <c r="G127" s="59">
        <f t="shared" si="10"/>
        <v>14</v>
      </c>
      <c r="H127" s="60">
        <v>7</v>
      </c>
    </row>
    <row r="128" spans="1:8">
      <c r="A128" s="26" t="str">
        <f t="shared" si="5"/>
        <v>7D</v>
      </c>
      <c r="B128" s="27">
        <v>125</v>
      </c>
      <c r="C128" s="28" t="str">
        <f t="shared" si="6"/>
        <v>01111101</v>
      </c>
      <c r="D128" s="30">
        <f t="shared" si="9"/>
        <v>48.235294117647058</v>
      </c>
      <c r="F128" s="58" t="str">
        <f t="shared" si="7"/>
        <v>F</v>
      </c>
      <c r="G128" s="59">
        <f t="shared" si="10"/>
        <v>15</v>
      </c>
      <c r="H128" s="60">
        <v>7.5</v>
      </c>
    </row>
    <row r="129" spans="1:8">
      <c r="A129" s="26" t="str">
        <f t="shared" si="5"/>
        <v>7E</v>
      </c>
      <c r="B129" s="27">
        <v>126</v>
      </c>
      <c r="C129" s="28" t="str">
        <f t="shared" si="6"/>
        <v>01111110</v>
      </c>
      <c r="D129" s="30">
        <f t="shared" si="9"/>
        <v>48.941176470588246</v>
      </c>
      <c r="F129" s="58" t="str">
        <f t="shared" si="7"/>
        <v>10</v>
      </c>
      <c r="G129" s="59">
        <f t="shared" si="10"/>
        <v>16</v>
      </c>
      <c r="H129" s="60">
        <v>8</v>
      </c>
    </row>
    <row r="130" spans="1:8">
      <c r="A130" s="26" t="str">
        <f t="shared" si="5"/>
        <v>7F</v>
      </c>
      <c r="B130" s="27">
        <v>127</v>
      </c>
      <c r="C130" s="28" t="str">
        <f t="shared" si="6"/>
        <v>01111111</v>
      </c>
      <c r="D130" s="30">
        <f t="shared" si="9"/>
        <v>49.64705882352942</v>
      </c>
      <c r="F130" s="58" t="str">
        <f t="shared" si="7"/>
        <v>11</v>
      </c>
      <c r="G130" s="59">
        <f t="shared" si="10"/>
        <v>17</v>
      </c>
      <c r="H130" s="60">
        <v>8.5</v>
      </c>
    </row>
    <row r="131" spans="1:8">
      <c r="A131" s="26" t="str">
        <f t="shared" si="5"/>
        <v>80</v>
      </c>
      <c r="B131" s="27">
        <v>128</v>
      </c>
      <c r="C131" s="28" t="str">
        <f t="shared" si="6"/>
        <v>10000000</v>
      </c>
      <c r="D131" s="30">
        <f t="shared" si="9"/>
        <v>50.352941176470594</v>
      </c>
      <c r="F131" s="58" t="str">
        <f t="shared" si="7"/>
        <v>12</v>
      </c>
      <c r="G131" s="59">
        <f t="shared" si="10"/>
        <v>18</v>
      </c>
      <c r="H131" s="60">
        <v>9</v>
      </c>
    </row>
    <row r="132" spans="1:8">
      <c r="A132" s="26" t="str">
        <f t="shared" ref="A132:A195" si="11">DEC2HEX(B132)</f>
        <v>81</v>
      </c>
      <c r="B132" s="27">
        <v>129</v>
      </c>
      <c r="C132" s="28" t="str">
        <f t="shared" ref="C132:C195" si="12">TEXT(DEC2BIN(B132),"00000000")</f>
        <v>10000001</v>
      </c>
      <c r="D132" s="30">
        <f t="shared" si="9"/>
        <v>51.058823529411768</v>
      </c>
      <c r="F132" s="58" t="str">
        <f t="shared" ref="F132:F195" si="13">DEC2HEX(G132)</f>
        <v>13</v>
      </c>
      <c r="G132" s="59">
        <f t="shared" ref="G132:G195" si="14">IF(H132&gt;0,2*H132,2*H132+4096)</f>
        <v>19</v>
      </c>
      <c r="H132" s="60">
        <v>9.5</v>
      </c>
    </row>
    <row r="133" spans="1:8">
      <c r="A133" s="26" t="str">
        <f t="shared" si="11"/>
        <v>82</v>
      </c>
      <c r="B133" s="27">
        <v>130</v>
      </c>
      <c r="C133" s="28" t="str">
        <f t="shared" si="12"/>
        <v>10000010</v>
      </c>
      <c r="D133" s="30">
        <f t="shared" ref="D133:D196" si="15">(180/255)*B133-40</f>
        <v>51.764705882352942</v>
      </c>
      <c r="F133" s="58" t="str">
        <f t="shared" si="13"/>
        <v>14</v>
      </c>
      <c r="G133" s="59">
        <f t="shared" si="14"/>
        <v>20</v>
      </c>
      <c r="H133" s="60">
        <v>10</v>
      </c>
    </row>
    <row r="134" spans="1:8">
      <c r="A134" s="26" t="str">
        <f t="shared" si="11"/>
        <v>83</v>
      </c>
      <c r="B134" s="27">
        <v>131</v>
      </c>
      <c r="C134" s="28" t="str">
        <f t="shared" si="12"/>
        <v>10000011</v>
      </c>
      <c r="D134" s="30">
        <f t="shared" si="15"/>
        <v>52.47058823529413</v>
      </c>
      <c r="F134" s="58" t="str">
        <f t="shared" si="13"/>
        <v>15</v>
      </c>
      <c r="G134" s="59">
        <f t="shared" si="14"/>
        <v>21</v>
      </c>
      <c r="H134" s="60">
        <v>10.5</v>
      </c>
    </row>
    <row r="135" spans="1:8">
      <c r="A135" s="26" t="str">
        <f t="shared" si="11"/>
        <v>84</v>
      </c>
      <c r="B135" s="27">
        <v>132</v>
      </c>
      <c r="C135" s="28" t="str">
        <f t="shared" si="12"/>
        <v>10000100</v>
      </c>
      <c r="D135" s="30">
        <f t="shared" si="15"/>
        <v>53.176470588235304</v>
      </c>
      <c r="F135" s="58" t="str">
        <f t="shared" si="13"/>
        <v>16</v>
      </c>
      <c r="G135" s="59">
        <f t="shared" si="14"/>
        <v>22</v>
      </c>
      <c r="H135" s="60">
        <v>11</v>
      </c>
    </row>
    <row r="136" spans="1:8">
      <c r="A136" s="26" t="str">
        <f t="shared" si="11"/>
        <v>85</v>
      </c>
      <c r="B136" s="27">
        <v>133</v>
      </c>
      <c r="C136" s="28" t="str">
        <f t="shared" si="12"/>
        <v>10000101</v>
      </c>
      <c r="D136" s="30">
        <f t="shared" si="15"/>
        <v>53.882352941176478</v>
      </c>
      <c r="F136" s="58" t="str">
        <f t="shared" si="13"/>
        <v>17</v>
      </c>
      <c r="G136" s="59">
        <f t="shared" si="14"/>
        <v>23</v>
      </c>
      <c r="H136" s="60">
        <v>11.5</v>
      </c>
    </row>
    <row r="137" spans="1:8">
      <c r="A137" s="26" t="str">
        <f t="shared" si="11"/>
        <v>86</v>
      </c>
      <c r="B137" s="27">
        <v>134</v>
      </c>
      <c r="C137" s="28" t="str">
        <f t="shared" si="12"/>
        <v>10000110</v>
      </c>
      <c r="D137" s="30">
        <f t="shared" si="15"/>
        <v>54.588235294117652</v>
      </c>
      <c r="F137" s="58" t="str">
        <f t="shared" si="13"/>
        <v>18</v>
      </c>
      <c r="G137" s="59">
        <f t="shared" si="14"/>
        <v>24</v>
      </c>
      <c r="H137" s="60">
        <v>12</v>
      </c>
    </row>
    <row r="138" spans="1:8">
      <c r="A138" s="26" t="str">
        <f t="shared" si="11"/>
        <v>87</v>
      </c>
      <c r="B138" s="27">
        <v>135</v>
      </c>
      <c r="C138" s="28" t="str">
        <f t="shared" si="12"/>
        <v>10000111</v>
      </c>
      <c r="D138" s="30">
        <f t="shared" si="15"/>
        <v>55.294117647058826</v>
      </c>
      <c r="F138" s="58" t="str">
        <f t="shared" si="13"/>
        <v>19</v>
      </c>
      <c r="G138" s="59">
        <f t="shared" si="14"/>
        <v>25</v>
      </c>
      <c r="H138" s="60">
        <v>12.5</v>
      </c>
    </row>
    <row r="139" spans="1:8">
      <c r="A139" s="26" t="str">
        <f t="shared" si="11"/>
        <v>88</v>
      </c>
      <c r="B139" s="27">
        <v>136</v>
      </c>
      <c r="C139" s="28" t="str">
        <f t="shared" si="12"/>
        <v>10001000</v>
      </c>
      <c r="D139" s="30">
        <f t="shared" si="15"/>
        <v>56</v>
      </c>
      <c r="F139" s="58" t="str">
        <f t="shared" si="13"/>
        <v>1A</v>
      </c>
      <c r="G139" s="59">
        <f t="shared" si="14"/>
        <v>26</v>
      </c>
      <c r="H139" s="60">
        <v>13</v>
      </c>
    </row>
    <row r="140" spans="1:8">
      <c r="A140" s="26" t="str">
        <f t="shared" si="11"/>
        <v>89</v>
      </c>
      <c r="B140" s="27">
        <v>137</v>
      </c>
      <c r="C140" s="28" t="str">
        <f t="shared" si="12"/>
        <v>10001001</v>
      </c>
      <c r="D140" s="30">
        <f t="shared" si="15"/>
        <v>56.705882352941188</v>
      </c>
      <c r="F140" s="58" t="str">
        <f t="shared" si="13"/>
        <v>1B</v>
      </c>
      <c r="G140" s="59">
        <f t="shared" si="14"/>
        <v>27</v>
      </c>
      <c r="H140" s="60">
        <v>13.5</v>
      </c>
    </row>
    <row r="141" spans="1:8">
      <c r="A141" s="26" t="str">
        <f t="shared" si="11"/>
        <v>8A</v>
      </c>
      <c r="B141" s="27">
        <v>138</v>
      </c>
      <c r="C141" s="28" t="str">
        <f t="shared" si="12"/>
        <v>10001010</v>
      </c>
      <c r="D141" s="30">
        <f t="shared" si="15"/>
        <v>57.411764705882362</v>
      </c>
      <c r="F141" s="58" t="str">
        <f t="shared" si="13"/>
        <v>1C</v>
      </c>
      <c r="G141" s="59">
        <f t="shared" si="14"/>
        <v>28</v>
      </c>
      <c r="H141" s="60">
        <v>14</v>
      </c>
    </row>
    <row r="142" spans="1:8">
      <c r="A142" s="26" t="str">
        <f t="shared" si="11"/>
        <v>8B</v>
      </c>
      <c r="B142" s="27">
        <v>139</v>
      </c>
      <c r="C142" s="28" t="str">
        <f t="shared" si="12"/>
        <v>10001011</v>
      </c>
      <c r="D142" s="30">
        <f t="shared" si="15"/>
        <v>58.117647058823536</v>
      </c>
      <c r="F142" s="58" t="str">
        <f t="shared" si="13"/>
        <v>1D</v>
      </c>
      <c r="G142" s="59">
        <f t="shared" si="14"/>
        <v>29</v>
      </c>
      <c r="H142" s="60">
        <v>14.5</v>
      </c>
    </row>
    <row r="143" spans="1:8">
      <c r="A143" s="26" t="str">
        <f t="shared" si="11"/>
        <v>8C</v>
      </c>
      <c r="B143" s="27">
        <v>140</v>
      </c>
      <c r="C143" s="28" t="str">
        <f t="shared" si="12"/>
        <v>10001100</v>
      </c>
      <c r="D143" s="30">
        <f t="shared" si="15"/>
        <v>58.82352941176471</v>
      </c>
      <c r="F143" s="58" t="str">
        <f t="shared" si="13"/>
        <v>1E</v>
      </c>
      <c r="G143" s="59">
        <f t="shared" si="14"/>
        <v>30</v>
      </c>
      <c r="H143" s="60">
        <v>15</v>
      </c>
    </row>
    <row r="144" spans="1:8">
      <c r="A144" s="26" t="str">
        <f t="shared" si="11"/>
        <v>8D</v>
      </c>
      <c r="B144" s="27">
        <v>141</v>
      </c>
      <c r="C144" s="28" t="str">
        <f t="shared" si="12"/>
        <v>10001101</v>
      </c>
      <c r="D144" s="30">
        <f t="shared" si="15"/>
        <v>59.529411764705884</v>
      </c>
      <c r="F144" s="58" t="str">
        <f t="shared" si="13"/>
        <v>1F</v>
      </c>
      <c r="G144" s="59">
        <f t="shared" si="14"/>
        <v>31</v>
      </c>
      <c r="H144" s="60">
        <v>15.5</v>
      </c>
    </row>
    <row r="145" spans="1:8">
      <c r="A145" s="26" t="str">
        <f t="shared" si="11"/>
        <v>8E</v>
      </c>
      <c r="B145" s="27">
        <v>142</v>
      </c>
      <c r="C145" s="28" t="str">
        <f t="shared" si="12"/>
        <v>10001110</v>
      </c>
      <c r="D145" s="30">
        <f t="shared" si="15"/>
        <v>60.235294117647072</v>
      </c>
      <c r="F145" s="58" t="str">
        <f t="shared" si="13"/>
        <v>20</v>
      </c>
      <c r="G145" s="59">
        <f t="shared" si="14"/>
        <v>32</v>
      </c>
      <c r="H145" s="60">
        <v>16</v>
      </c>
    </row>
    <row r="146" spans="1:8">
      <c r="A146" s="26" t="str">
        <f t="shared" si="11"/>
        <v>8F</v>
      </c>
      <c r="B146" s="27">
        <v>143</v>
      </c>
      <c r="C146" s="28" t="str">
        <f t="shared" si="12"/>
        <v>10001111</v>
      </c>
      <c r="D146" s="30">
        <f t="shared" si="15"/>
        <v>60.941176470588246</v>
      </c>
      <c r="F146" s="58" t="str">
        <f t="shared" si="13"/>
        <v>21</v>
      </c>
      <c r="G146" s="59">
        <f t="shared" si="14"/>
        <v>33</v>
      </c>
      <c r="H146" s="60">
        <v>16.5</v>
      </c>
    </row>
    <row r="147" spans="1:8">
      <c r="A147" s="26" t="str">
        <f t="shared" si="11"/>
        <v>90</v>
      </c>
      <c r="B147" s="27">
        <v>144</v>
      </c>
      <c r="C147" s="28" t="str">
        <f t="shared" si="12"/>
        <v>10010000</v>
      </c>
      <c r="D147" s="30">
        <f t="shared" si="15"/>
        <v>61.64705882352942</v>
      </c>
      <c r="F147" s="58" t="str">
        <f t="shared" si="13"/>
        <v>22</v>
      </c>
      <c r="G147" s="59">
        <f t="shared" si="14"/>
        <v>34</v>
      </c>
      <c r="H147" s="60">
        <v>17</v>
      </c>
    </row>
    <row r="148" spans="1:8">
      <c r="A148" s="26" t="str">
        <f t="shared" si="11"/>
        <v>91</v>
      </c>
      <c r="B148" s="27">
        <v>145</v>
      </c>
      <c r="C148" s="28" t="str">
        <f t="shared" si="12"/>
        <v>10010001</v>
      </c>
      <c r="D148" s="30">
        <f t="shared" si="15"/>
        <v>62.352941176470594</v>
      </c>
      <c r="F148" s="58" t="str">
        <f t="shared" si="13"/>
        <v>23</v>
      </c>
      <c r="G148" s="59">
        <f t="shared" si="14"/>
        <v>35</v>
      </c>
      <c r="H148" s="60">
        <v>17.5</v>
      </c>
    </row>
    <row r="149" spans="1:8">
      <c r="A149" s="26" t="str">
        <f t="shared" si="11"/>
        <v>92</v>
      </c>
      <c r="B149" s="27">
        <v>146</v>
      </c>
      <c r="C149" s="28" t="str">
        <f t="shared" si="12"/>
        <v>10010010</v>
      </c>
      <c r="D149" s="30">
        <f t="shared" si="15"/>
        <v>63.058823529411768</v>
      </c>
      <c r="F149" s="58" t="str">
        <f t="shared" si="13"/>
        <v>24</v>
      </c>
      <c r="G149" s="59">
        <f t="shared" si="14"/>
        <v>36</v>
      </c>
      <c r="H149" s="60">
        <v>18</v>
      </c>
    </row>
    <row r="150" spans="1:8">
      <c r="A150" s="26" t="str">
        <f t="shared" si="11"/>
        <v>93</v>
      </c>
      <c r="B150" s="27">
        <v>147</v>
      </c>
      <c r="C150" s="28" t="str">
        <f t="shared" si="12"/>
        <v>10010011</v>
      </c>
      <c r="D150" s="30">
        <f t="shared" si="15"/>
        <v>63.764705882352942</v>
      </c>
      <c r="F150" s="58" t="str">
        <f t="shared" si="13"/>
        <v>25</v>
      </c>
      <c r="G150" s="59">
        <f t="shared" si="14"/>
        <v>37</v>
      </c>
      <c r="H150" s="60">
        <v>18.5</v>
      </c>
    </row>
    <row r="151" spans="1:8">
      <c r="A151" s="26" t="str">
        <f t="shared" si="11"/>
        <v>94</v>
      </c>
      <c r="B151" s="27">
        <v>148</v>
      </c>
      <c r="C151" s="28" t="str">
        <f t="shared" si="12"/>
        <v>10010100</v>
      </c>
      <c r="D151" s="30">
        <f t="shared" si="15"/>
        <v>64.47058823529413</v>
      </c>
      <c r="F151" s="58" t="str">
        <f t="shared" si="13"/>
        <v>26</v>
      </c>
      <c r="G151" s="59">
        <f t="shared" si="14"/>
        <v>38</v>
      </c>
      <c r="H151" s="60">
        <v>19</v>
      </c>
    </row>
    <row r="152" spans="1:8">
      <c r="A152" s="26" t="str">
        <f t="shared" si="11"/>
        <v>95</v>
      </c>
      <c r="B152" s="27">
        <v>149</v>
      </c>
      <c r="C152" s="28" t="str">
        <f t="shared" si="12"/>
        <v>10010101</v>
      </c>
      <c r="D152" s="30">
        <f t="shared" si="15"/>
        <v>65.176470588235304</v>
      </c>
      <c r="F152" s="58" t="str">
        <f t="shared" si="13"/>
        <v>27</v>
      </c>
      <c r="G152" s="59">
        <f t="shared" si="14"/>
        <v>39</v>
      </c>
      <c r="H152" s="60">
        <v>19.5</v>
      </c>
    </row>
    <row r="153" spans="1:8">
      <c r="A153" s="26" t="str">
        <f t="shared" si="11"/>
        <v>96</v>
      </c>
      <c r="B153" s="27">
        <v>150</v>
      </c>
      <c r="C153" s="28" t="str">
        <f t="shared" si="12"/>
        <v>10010110</v>
      </c>
      <c r="D153" s="30">
        <f t="shared" si="15"/>
        <v>65.882352941176478</v>
      </c>
      <c r="F153" s="58" t="str">
        <f t="shared" si="13"/>
        <v>28</v>
      </c>
      <c r="G153" s="59">
        <f t="shared" si="14"/>
        <v>40</v>
      </c>
      <c r="H153" s="60">
        <v>20</v>
      </c>
    </row>
    <row r="154" spans="1:8">
      <c r="A154" s="26" t="str">
        <f t="shared" si="11"/>
        <v>97</v>
      </c>
      <c r="B154" s="27">
        <v>151</v>
      </c>
      <c r="C154" s="28" t="str">
        <f t="shared" si="12"/>
        <v>10010111</v>
      </c>
      <c r="D154" s="30">
        <f t="shared" si="15"/>
        <v>66.588235294117652</v>
      </c>
      <c r="F154" s="58" t="str">
        <f t="shared" si="13"/>
        <v>29</v>
      </c>
      <c r="G154" s="59">
        <f t="shared" si="14"/>
        <v>41</v>
      </c>
      <c r="H154" s="60">
        <v>20.5</v>
      </c>
    </row>
    <row r="155" spans="1:8">
      <c r="A155" s="26" t="str">
        <f t="shared" si="11"/>
        <v>98</v>
      </c>
      <c r="B155" s="27">
        <v>152</v>
      </c>
      <c r="C155" s="28" t="str">
        <f t="shared" si="12"/>
        <v>10011000</v>
      </c>
      <c r="D155" s="30">
        <f t="shared" si="15"/>
        <v>67.294117647058826</v>
      </c>
      <c r="F155" s="58" t="str">
        <f t="shared" si="13"/>
        <v>2A</v>
      </c>
      <c r="G155" s="59">
        <f t="shared" si="14"/>
        <v>42</v>
      </c>
      <c r="H155" s="60">
        <v>21</v>
      </c>
    </row>
    <row r="156" spans="1:8">
      <c r="A156" s="26" t="str">
        <f t="shared" si="11"/>
        <v>99</v>
      </c>
      <c r="B156" s="27">
        <v>153</v>
      </c>
      <c r="C156" s="28" t="str">
        <f t="shared" si="12"/>
        <v>10011001</v>
      </c>
      <c r="D156" s="30">
        <f t="shared" si="15"/>
        <v>68</v>
      </c>
      <c r="F156" s="58" t="str">
        <f t="shared" si="13"/>
        <v>2B</v>
      </c>
      <c r="G156" s="59">
        <f t="shared" si="14"/>
        <v>43</v>
      </c>
      <c r="H156" s="60">
        <v>21.5</v>
      </c>
    </row>
    <row r="157" spans="1:8">
      <c r="A157" s="26" t="str">
        <f t="shared" si="11"/>
        <v>9A</v>
      </c>
      <c r="B157" s="27">
        <v>154</v>
      </c>
      <c r="C157" s="28" t="str">
        <f t="shared" si="12"/>
        <v>10011010</v>
      </c>
      <c r="D157" s="30">
        <f t="shared" si="15"/>
        <v>68.705882352941188</v>
      </c>
      <c r="F157" s="58" t="str">
        <f t="shared" si="13"/>
        <v>2C</v>
      </c>
      <c r="G157" s="59">
        <f t="shared" si="14"/>
        <v>44</v>
      </c>
      <c r="H157" s="60">
        <v>22</v>
      </c>
    </row>
    <row r="158" spans="1:8">
      <c r="A158" s="26" t="str">
        <f t="shared" si="11"/>
        <v>9B</v>
      </c>
      <c r="B158" s="27">
        <v>155</v>
      </c>
      <c r="C158" s="28" t="str">
        <f t="shared" si="12"/>
        <v>10011011</v>
      </c>
      <c r="D158" s="30">
        <f t="shared" si="15"/>
        <v>69.411764705882362</v>
      </c>
      <c r="F158" s="58" t="str">
        <f t="shared" si="13"/>
        <v>2D</v>
      </c>
      <c r="G158" s="59">
        <f t="shared" si="14"/>
        <v>45</v>
      </c>
      <c r="H158" s="60">
        <v>22.5</v>
      </c>
    </row>
    <row r="159" spans="1:8">
      <c r="A159" s="26" t="str">
        <f t="shared" si="11"/>
        <v>9C</v>
      </c>
      <c r="B159" s="27">
        <v>156</v>
      </c>
      <c r="C159" s="28" t="str">
        <f t="shared" si="12"/>
        <v>10011100</v>
      </c>
      <c r="D159" s="30">
        <f t="shared" si="15"/>
        <v>70.117647058823536</v>
      </c>
      <c r="F159" s="58" t="str">
        <f t="shared" si="13"/>
        <v>2E</v>
      </c>
      <c r="G159" s="59">
        <f t="shared" si="14"/>
        <v>46</v>
      </c>
      <c r="H159" s="60">
        <v>23</v>
      </c>
    </row>
    <row r="160" spans="1:8">
      <c r="A160" s="26" t="str">
        <f t="shared" si="11"/>
        <v>9D</v>
      </c>
      <c r="B160" s="27">
        <v>157</v>
      </c>
      <c r="C160" s="28" t="str">
        <f t="shared" si="12"/>
        <v>10011101</v>
      </c>
      <c r="D160" s="30">
        <f t="shared" si="15"/>
        <v>70.82352941176471</v>
      </c>
      <c r="F160" s="58" t="str">
        <f t="shared" si="13"/>
        <v>2F</v>
      </c>
      <c r="G160" s="59">
        <f t="shared" si="14"/>
        <v>47</v>
      </c>
      <c r="H160" s="60">
        <v>23.5</v>
      </c>
    </row>
    <row r="161" spans="1:8">
      <c r="A161" s="26" t="str">
        <f t="shared" si="11"/>
        <v>9E</v>
      </c>
      <c r="B161" s="27">
        <v>158</v>
      </c>
      <c r="C161" s="28" t="str">
        <f t="shared" si="12"/>
        <v>10011110</v>
      </c>
      <c r="D161" s="30">
        <f t="shared" si="15"/>
        <v>71.529411764705884</v>
      </c>
      <c r="F161" s="58" t="str">
        <f t="shared" si="13"/>
        <v>30</v>
      </c>
      <c r="G161" s="59">
        <f t="shared" si="14"/>
        <v>48</v>
      </c>
      <c r="H161" s="60">
        <v>24</v>
      </c>
    </row>
    <row r="162" spans="1:8">
      <c r="A162" s="26" t="str">
        <f t="shared" si="11"/>
        <v>9F</v>
      </c>
      <c r="B162" s="27">
        <v>159</v>
      </c>
      <c r="C162" s="28" t="str">
        <f t="shared" si="12"/>
        <v>10011111</v>
      </c>
      <c r="D162" s="30">
        <f t="shared" si="15"/>
        <v>72.235294117647072</v>
      </c>
      <c r="F162" s="58" t="str">
        <f t="shared" si="13"/>
        <v>31</v>
      </c>
      <c r="G162" s="59">
        <f t="shared" si="14"/>
        <v>49</v>
      </c>
      <c r="H162" s="60">
        <v>24.5</v>
      </c>
    </row>
    <row r="163" spans="1:8">
      <c r="A163" s="26" t="str">
        <f t="shared" si="11"/>
        <v>A0</v>
      </c>
      <c r="B163" s="27">
        <v>160</v>
      </c>
      <c r="C163" s="28" t="str">
        <f t="shared" si="12"/>
        <v>10100000</v>
      </c>
      <c r="D163" s="30">
        <f t="shared" si="15"/>
        <v>72.941176470588246</v>
      </c>
      <c r="F163" s="58" t="str">
        <f t="shared" si="13"/>
        <v>32</v>
      </c>
      <c r="G163" s="59">
        <f t="shared" si="14"/>
        <v>50</v>
      </c>
      <c r="H163" s="60">
        <v>25</v>
      </c>
    </row>
    <row r="164" spans="1:8">
      <c r="A164" s="26" t="str">
        <f t="shared" si="11"/>
        <v>A1</v>
      </c>
      <c r="B164" s="27">
        <v>161</v>
      </c>
      <c r="C164" s="28" t="str">
        <f t="shared" si="12"/>
        <v>10100001</v>
      </c>
      <c r="D164" s="30">
        <f t="shared" si="15"/>
        <v>73.64705882352942</v>
      </c>
      <c r="F164" s="58" t="str">
        <f t="shared" si="13"/>
        <v>33</v>
      </c>
      <c r="G164" s="59">
        <f t="shared" si="14"/>
        <v>51</v>
      </c>
      <c r="H164" s="60">
        <v>25.5</v>
      </c>
    </row>
    <row r="165" spans="1:8">
      <c r="A165" s="26" t="str">
        <f t="shared" si="11"/>
        <v>A2</v>
      </c>
      <c r="B165" s="27">
        <v>162</v>
      </c>
      <c r="C165" s="28" t="str">
        <f t="shared" si="12"/>
        <v>10100010</v>
      </c>
      <c r="D165" s="30">
        <f t="shared" si="15"/>
        <v>74.352941176470594</v>
      </c>
      <c r="F165" s="58" t="str">
        <f t="shared" si="13"/>
        <v>34</v>
      </c>
      <c r="G165" s="59">
        <f t="shared" si="14"/>
        <v>52</v>
      </c>
      <c r="H165" s="60">
        <v>26</v>
      </c>
    </row>
    <row r="166" spans="1:8">
      <c r="A166" s="26" t="str">
        <f t="shared" si="11"/>
        <v>A3</v>
      </c>
      <c r="B166" s="27">
        <v>163</v>
      </c>
      <c r="C166" s="28" t="str">
        <f t="shared" si="12"/>
        <v>10100011</v>
      </c>
      <c r="D166" s="30">
        <f t="shared" si="15"/>
        <v>75.058823529411768</v>
      </c>
      <c r="F166" s="58" t="str">
        <f t="shared" si="13"/>
        <v>35</v>
      </c>
      <c r="G166" s="59">
        <f t="shared" si="14"/>
        <v>53</v>
      </c>
      <c r="H166" s="60">
        <v>26.5</v>
      </c>
    </row>
    <row r="167" spans="1:8">
      <c r="A167" s="26" t="str">
        <f t="shared" si="11"/>
        <v>A4</v>
      </c>
      <c r="B167" s="27">
        <v>164</v>
      </c>
      <c r="C167" s="28" t="str">
        <f t="shared" si="12"/>
        <v>10100100</v>
      </c>
      <c r="D167" s="30">
        <f t="shared" si="15"/>
        <v>75.764705882352942</v>
      </c>
      <c r="F167" s="58" t="str">
        <f t="shared" si="13"/>
        <v>36</v>
      </c>
      <c r="G167" s="59">
        <f t="shared" si="14"/>
        <v>54</v>
      </c>
      <c r="H167" s="60">
        <v>27</v>
      </c>
    </row>
    <row r="168" spans="1:8">
      <c r="A168" s="26" t="str">
        <f t="shared" si="11"/>
        <v>A5</v>
      </c>
      <c r="B168" s="27">
        <v>165</v>
      </c>
      <c r="C168" s="28" t="str">
        <f t="shared" si="12"/>
        <v>10100101</v>
      </c>
      <c r="D168" s="30">
        <f t="shared" si="15"/>
        <v>76.47058823529413</v>
      </c>
      <c r="F168" s="58" t="str">
        <f t="shared" si="13"/>
        <v>37</v>
      </c>
      <c r="G168" s="59">
        <f t="shared" si="14"/>
        <v>55</v>
      </c>
      <c r="H168" s="60">
        <v>27.5</v>
      </c>
    </row>
    <row r="169" spans="1:8">
      <c r="A169" s="26" t="str">
        <f t="shared" si="11"/>
        <v>A6</v>
      </c>
      <c r="B169" s="27">
        <v>166</v>
      </c>
      <c r="C169" s="28" t="str">
        <f t="shared" si="12"/>
        <v>10100110</v>
      </c>
      <c r="D169" s="30">
        <f t="shared" si="15"/>
        <v>77.176470588235304</v>
      </c>
      <c r="F169" s="58" t="str">
        <f t="shared" si="13"/>
        <v>38</v>
      </c>
      <c r="G169" s="59">
        <f t="shared" si="14"/>
        <v>56</v>
      </c>
      <c r="H169" s="60">
        <v>28</v>
      </c>
    </row>
    <row r="170" spans="1:8">
      <c r="A170" s="26" t="str">
        <f t="shared" si="11"/>
        <v>A7</v>
      </c>
      <c r="B170" s="27">
        <v>167</v>
      </c>
      <c r="C170" s="28" t="str">
        <f t="shared" si="12"/>
        <v>10100111</v>
      </c>
      <c r="D170" s="30">
        <f t="shared" si="15"/>
        <v>77.882352941176478</v>
      </c>
      <c r="F170" s="58" t="str">
        <f t="shared" si="13"/>
        <v>39</v>
      </c>
      <c r="G170" s="59">
        <f t="shared" si="14"/>
        <v>57</v>
      </c>
      <c r="H170" s="60">
        <v>28.5</v>
      </c>
    </row>
    <row r="171" spans="1:8">
      <c r="A171" s="26" t="str">
        <f t="shared" si="11"/>
        <v>A8</v>
      </c>
      <c r="B171" s="27">
        <v>168</v>
      </c>
      <c r="C171" s="28" t="str">
        <f t="shared" si="12"/>
        <v>10101000</v>
      </c>
      <c r="D171" s="30">
        <f t="shared" si="15"/>
        <v>78.588235294117652</v>
      </c>
      <c r="F171" s="58" t="str">
        <f t="shared" si="13"/>
        <v>3A</v>
      </c>
      <c r="G171" s="59">
        <f t="shared" si="14"/>
        <v>58</v>
      </c>
      <c r="H171" s="60">
        <v>29</v>
      </c>
    </row>
    <row r="172" spans="1:8">
      <c r="A172" s="26" t="str">
        <f t="shared" si="11"/>
        <v>A9</v>
      </c>
      <c r="B172" s="27">
        <v>169</v>
      </c>
      <c r="C172" s="28" t="str">
        <f t="shared" si="12"/>
        <v>10101001</v>
      </c>
      <c r="D172" s="30">
        <f t="shared" si="15"/>
        <v>79.294117647058826</v>
      </c>
      <c r="F172" s="58" t="str">
        <f t="shared" si="13"/>
        <v>3B</v>
      </c>
      <c r="G172" s="59">
        <f t="shared" si="14"/>
        <v>59</v>
      </c>
      <c r="H172" s="60">
        <v>29.5</v>
      </c>
    </row>
    <row r="173" spans="1:8">
      <c r="A173" s="26" t="str">
        <f t="shared" si="11"/>
        <v>AA</v>
      </c>
      <c r="B173" s="27">
        <v>170</v>
      </c>
      <c r="C173" s="28" t="str">
        <f t="shared" si="12"/>
        <v>10101010</v>
      </c>
      <c r="D173" s="30">
        <f t="shared" si="15"/>
        <v>80.000000000000014</v>
      </c>
      <c r="F173" s="58" t="str">
        <f t="shared" si="13"/>
        <v>3C</v>
      </c>
      <c r="G173" s="59">
        <f t="shared" si="14"/>
        <v>60</v>
      </c>
      <c r="H173" s="60">
        <v>30</v>
      </c>
    </row>
    <row r="174" spans="1:8">
      <c r="A174" s="26" t="str">
        <f t="shared" si="11"/>
        <v>AB</v>
      </c>
      <c r="B174" s="27">
        <v>171</v>
      </c>
      <c r="C174" s="28" t="str">
        <f t="shared" si="12"/>
        <v>10101011</v>
      </c>
      <c r="D174" s="30">
        <f t="shared" si="15"/>
        <v>80.705882352941188</v>
      </c>
      <c r="F174" s="58" t="str">
        <f t="shared" si="13"/>
        <v>3D</v>
      </c>
      <c r="G174" s="59">
        <f t="shared" si="14"/>
        <v>61</v>
      </c>
      <c r="H174" s="60">
        <v>30.5</v>
      </c>
    </row>
    <row r="175" spans="1:8">
      <c r="A175" s="26" t="str">
        <f t="shared" si="11"/>
        <v>AC</v>
      </c>
      <c r="B175" s="27">
        <v>172</v>
      </c>
      <c r="C175" s="28" t="str">
        <f t="shared" si="12"/>
        <v>10101100</v>
      </c>
      <c r="D175" s="30">
        <f t="shared" si="15"/>
        <v>81.411764705882362</v>
      </c>
      <c r="F175" s="58" t="str">
        <f t="shared" si="13"/>
        <v>3E</v>
      </c>
      <c r="G175" s="59">
        <f t="shared" si="14"/>
        <v>62</v>
      </c>
      <c r="H175" s="60">
        <v>31</v>
      </c>
    </row>
    <row r="176" spans="1:8">
      <c r="A176" s="26" t="str">
        <f t="shared" si="11"/>
        <v>AD</v>
      </c>
      <c r="B176" s="27">
        <v>173</v>
      </c>
      <c r="C176" s="28" t="str">
        <f t="shared" si="12"/>
        <v>10101101</v>
      </c>
      <c r="D176" s="30">
        <f t="shared" si="15"/>
        <v>82.117647058823536</v>
      </c>
      <c r="F176" s="58" t="str">
        <f t="shared" si="13"/>
        <v>3F</v>
      </c>
      <c r="G176" s="59">
        <f t="shared" si="14"/>
        <v>63</v>
      </c>
      <c r="H176" s="60">
        <v>31.5</v>
      </c>
    </row>
    <row r="177" spans="1:8">
      <c r="A177" s="26" t="str">
        <f t="shared" si="11"/>
        <v>AE</v>
      </c>
      <c r="B177" s="27">
        <v>174</v>
      </c>
      <c r="C177" s="28" t="str">
        <f t="shared" si="12"/>
        <v>10101110</v>
      </c>
      <c r="D177" s="30">
        <f t="shared" si="15"/>
        <v>82.82352941176471</v>
      </c>
      <c r="F177" s="58" t="str">
        <f t="shared" si="13"/>
        <v>40</v>
      </c>
      <c r="G177" s="59">
        <f t="shared" si="14"/>
        <v>64</v>
      </c>
      <c r="H177" s="60">
        <v>32</v>
      </c>
    </row>
    <row r="178" spans="1:8">
      <c r="A178" s="26" t="str">
        <f t="shared" si="11"/>
        <v>AF</v>
      </c>
      <c r="B178" s="27">
        <v>175</v>
      </c>
      <c r="C178" s="28" t="str">
        <f t="shared" si="12"/>
        <v>10101111</v>
      </c>
      <c r="D178" s="30">
        <f t="shared" si="15"/>
        <v>83.529411764705884</v>
      </c>
      <c r="F178" s="58" t="str">
        <f t="shared" si="13"/>
        <v>41</v>
      </c>
      <c r="G178" s="59">
        <f t="shared" si="14"/>
        <v>65</v>
      </c>
      <c r="H178" s="60">
        <v>32.5</v>
      </c>
    </row>
    <row r="179" spans="1:8">
      <c r="A179" s="26" t="str">
        <f t="shared" si="11"/>
        <v>B0</v>
      </c>
      <c r="B179" s="27">
        <v>176</v>
      </c>
      <c r="C179" s="28" t="str">
        <f t="shared" si="12"/>
        <v>10110000</v>
      </c>
      <c r="D179" s="30">
        <f t="shared" si="15"/>
        <v>84.235294117647072</v>
      </c>
      <c r="F179" s="58" t="str">
        <f t="shared" si="13"/>
        <v>42</v>
      </c>
      <c r="G179" s="59">
        <f t="shared" si="14"/>
        <v>66</v>
      </c>
      <c r="H179" s="60">
        <v>33</v>
      </c>
    </row>
    <row r="180" spans="1:8">
      <c r="A180" s="26" t="str">
        <f t="shared" si="11"/>
        <v>B1</v>
      </c>
      <c r="B180" s="27">
        <v>177</v>
      </c>
      <c r="C180" s="28" t="str">
        <f t="shared" si="12"/>
        <v>10110001</v>
      </c>
      <c r="D180" s="30">
        <f t="shared" si="15"/>
        <v>84.941176470588246</v>
      </c>
      <c r="F180" s="58" t="str">
        <f t="shared" si="13"/>
        <v>43</v>
      </c>
      <c r="G180" s="59">
        <f t="shared" si="14"/>
        <v>67</v>
      </c>
      <c r="H180" s="60">
        <v>33.5</v>
      </c>
    </row>
    <row r="181" spans="1:8">
      <c r="A181" s="26" t="str">
        <f t="shared" si="11"/>
        <v>B2</v>
      </c>
      <c r="B181" s="27">
        <v>178</v>
      </c>
      <c r="C181" s="28" t="str">
        <f t="shared" si="12"/>
        <v>10110010</v>
      </c>
      <c r="D181" s="30">
        <f t="shared" si="15"/>
        <v>85.64705882352942</v>
      </c>
      <c r="F181" s="58" t="str">
        <f t="shared" si="13"/>
        <v>44</v>
      </c>
      <c r="G181" s="59">
        <f t="shared" si="14"/>
        <v>68</v>
      </c>
      <c r="H181" s="60">
        <v>34</v>
      </c>
    </row>
    <row r="182" spans="1:8">
      <c r="A182" s="26" t="str">
        <f t="shared" si="11"/>
        <v>B3</v>
      </c>
      <c r="B182" s="27">
        <v>179</v>
      </c>
      <c r="C182" s="28" t="str">
        <f t="shared" si="12"/>
        <v>10110011</v>
      </c>
      <c r="D182" s="30">
        <f t="shared" si="15"/>
        <v>86.352941176470594</v>
      </c>
      <c r="F182" s="58" t="str">
        <f t="shared" si="13"/>
        <v>45</v>
      </c>
      <c r="G182" s="59">
        <f t="shared" si="14"/>
        <v>69</v>
      </c>
      <c r="H182" s="60">
        <v>34.5</v>
      </c>
    </row>
    <row r="183" spans="1:8">
      <c r="A183" s="26" t="str">
        <f t="shared" si="11"/>
        <v>B4</v>
      </c>
      <c r="B183" s="27">
        <v>180</v>
      </c>
      <c r="C183" s="28" t="str">
        <f t="shared" si="12"/>
        <v>10110100</v>
      </c>
      <c r="D183" s="30">
        <f t="shared" si="15"/>
        <v>87.058823529411768</v>
      </c>
      <c r="F183" s="58" t="str">
        <f t="shared" si="13"/>
        <v>46</v>
      </c>
      <c r="G183" s="59">
        <f t="shared" si="14"/>
        <v>70</v>
      </c>
      <c r="H183" s="60">
        <v>35</v>
      </c>
    </row>
    <row r="184" spans="1:8">
      <c r="A184" s="26" t="str">
        <f t="shared" si="11"/>
        <v>B5</v>
      </c>
      <c r="B184" s="27">
        <v>181</v>
      </c>
      <c r="C184" s="28" t="str">
        <f t="shared" si="12"/>
        <v>10110101</v>
      </c>
      <c r="D184" s="30">
        <f t="shared" si="15"/>
        <v>87.764705882352956</v>
      </c>
      <c r="F184" s="58" t="str">
        <f t="shared" si="13"/>
        <v>47</v>
      </c>
      <c r="G184" s="59">
        <f t="shared" si="14"/>
        <v>71</v>
      </c>
      <c r="H184" s="60">
        <v>35.5</v>
      </c>
    </row>
    <row r="185" spans="1:8">
      <c r="A185" s="26" t="str">
        <f t="shared" si="11"/>
        <v>B6</v>
      </c>
      <c r="B185" s="27">
        <v>182</v>
      </c>
      <c r="C185" s="28" t="str">
        <f t="shared" si="12"/>
        <v>10110110</v>
      </c>
      <c r="D185" s="30">
        <f t="shared" si="15"/>
        <v>88.470588235294116</v>
      </c>
      <c r="F185" s="58" t="str">
        <f t="shared" si="13"/>
        <v>48</v>
      </c>
      <c r="G185" s="59">
        <f t="shared" si="14"/>
        <v>72</v>
      </c>
      <c r="H185" s="60">
        <v>36</v>
      </c>
    </row>
    <row r="186" spans="1:8">
      <c r="A186" s="26" t="str">
        <f t="shared" si="11"/>
        <v>B7</v>
      </c>
      <c r="B186" s="27">
        <v>183</v>
      </c>
      <c r="C186" s="28" t="str">
        <f t="shared" si="12"/>
        <v>10110111</v>
      </c>
      <c r="D186" s="30">
        <f t="shared" si="15"/>
        <v>89.176470588235304</v>
      </c>
      <c r="F186" s="58" t="str">
        <f t="shared" si="13"/>
        <v>49</v>
      </c>
      <c r="G186" s="59">
        <f t="shared" si="14"/>
        <v>73</v>
      </c>
      <c r="H186" s="60">
        <v>36.5</v>
      </c>
    </row>
    <row r="187" spans="1:8">
      <c r="A187" s="26" t="str">
        <f t="shared" si="11"/>
        <v>B8</v>
      </c>
      <c r="B187" s="27">
        <v>184</v>
      </c>
      <c r="C187" s="28" t="str">
        <f t="shared" si="12"/>
        <v>10111000</v>
      </c>
      <c r="D187" s="30">
        <f t="shared" si="15"/>
        <v>89.882352941176492</v>
      </c>
      <c r="F187" s="58" t="str">
        <f t="shared" si="13"/>
        <v>4A</v>
      </c>
      <c r="G187" s="59">
        <f t="shared" si="14"/>
        <v>74</v>
      </c>
      <c r="H187" s="60">
        <v>37</v>
      </c>
    </row>
    <row r="188" spans="1:8">
      <c r="A188" s="26" t="str">
        <f t="shared" si="11"/>
        <v>B9</v>
      </c>
      <c r="B188" s="27">
        <v>185</v>
      </c>
      <c r="C188" s="28" t="str">
        <f t="shared" si="12"/>
        <v>10111001</v>
      </c>
      <c r="D188" s="30">
        <f t="shared" si="15"/>
        <v>90.588235294117652</v>
      </c>
      <c r="F188" s="58" t="str">
        <f t="shared" si="13"/>
        <v>4B</v>
      </c>
      <c r="G188" s="59">
        <f t="shared" si="14"/>
        <v>75</v>
      </c>
      <c r="H188" s="60">
        <v>37.5</v>
      </c>
    </row>
    <row r="189" spans="1:8">
      <c r="A189" s="26" t="str">
        <f t="shared" si="11"/>
        <v>BA</v>
      </c>
      <c r="B189" s="27">
        <v>186</v>
      </c>
      <c r="C189" s="28" t="str">
        <f t="shared" si="12"/>
        <v>10111010</v>
      </c>
      <c r="D189" s="30">
        <f t="shared" si="15"/>
        <v>91.29411764705884</v>
      </c>
      <c r="F189" s="58" t="str">
        <f t="shared" si="13"/>
        <v>4C</v>
      </c>
      <c r="G189" s="59">
        <f t="shared" si="14"/>
        <v>76</v>
      </c>
      <c r="H189" s="60">
        <v>38</v>
      </c>
    </row>
    <row r="190" spans="1:8">
      <c r="A190" s="26" t="str">
        <f t="shared" si="11"/>
        <v>BB</v>
      </c>
      <c r="B190" s="27">
        <v>187</v>
      </c>
      <c r="C190" s="28" t="str">
        <f t="shared" si="12"/>
        <v>10111011</v>
      </c>
      <c r="D190" s="30">
        <f t="shared" si="15"/>
        <v>92</v>
      </c>
      <c r="F190" s="58" t="str">
        <f t="shared" si="13"/>
        <v>4D</v>
      </c>
      <c r="G190" s="59">
        <f t="shared" si="14"/>
        <v>77</v>
      </c>
      <c r="H190" s="60">
        <v>38.5</v>
      </c>
    </row>
    <row r="191" spans="1:8">
      <c r="A191" s="26" t="str">
        <f t="shared" si="11"/>
        <v>BC</v>
      </c>
      <c r="B191" s="27">
        <v>188</v>
      </c>
      <c r="C191" s="28" t="str">
        <f t="shared" si="12"/>
        <v>10111100</v>
      </c>
      <c r="D191" s="30">
        <f t="shared" si="15"/>
        <v>92.705882352941188</v>
      </c>
      <c r="F191" s="58" t="str">
        <f t="shared" si="13"/>
        <v>4E</v>
      </c>
      <c r="G191" s="59">
        <f t="shared" si="14"/>
        <v>78</v>
      </c>
      <c r="H191" s="60">
        <v>39</v>
      </c>
    </row>
    <row r="192" spans="1:8">
      <c r="A192" s="26" t="str">
        <f t="shared" si="11"/>
        <v>BD</v>
      </c>
      <c r="B192" s="27">
        <v>189</v>
      </c>
      <c r="C192" s="28" t="str">
        <f t="shared" si="12"/>
        <v>10111101</v>
      </c>
      <c r="D192" s="30">
        <f t="shared" si="15"/>
        <v>93.411764705882348</v>
      </c>
      <c r="F192" s="58" t="str">
        <f t="shared" si="13"/>
        <v>4F</v>
      </c>
      <c r="G192" s="59">
        <f t="shared" si="14"/>
        <v>79</v>
      </c>
      <c r="H192" s="60">
        <v>39.5</v>
      </c>
    </row>
    <row r="193" spans="1:8">
      <c r="A193" s="26" t="str">
        <f t="shared" si="11"/>
        <v>BE</v>
      </c>
      <c r="B193" s="27">
        <v>190</v>
      </c>
      <c r="C193" s="28" t="str">
        <f t="shared" si="12"/>
        <v>10111110</v>
      </c>
      <c r="D193" s="30">
        <f t="shared" si="15"/>
        <v>94.117647058823536</v>
      </c>
      <c r="F193" s="58" t="str">
        <f t="shared" si="13"/>
        <v>50</v>
      </c>
      <c r="G193" s="59">
        <f t="shared" si="14"/>
        <v>80</v>
      </c>
      <c r="H193" s="60">
        <v>40</v>
      </c>
    </row>
    <row r="194" spans="1:8">
      <c r="A194" s="26" t="str">
        <f t="shared" si="11"/>
        <v>BF</v>
      </c>
      <c r="B194" s="27">
        <v>191</v>
      </c>
      <c r="C194" s="28" t="str">
        <f t="shared" si="12"/>
        <v>10111111</v>
      </c>
      <c r="D194" s="30">
        <f t="shared" si="15"/>
        <v>94.823529411764724</v>
      </c>
      <c r="F194" s="58" t="str">
        <f t="shared" si="13"/>
        <v>51</v>
      </c>
      <c r="G194" s="59">
        <f t="shared" si="14"/>
        <v>81</v>
      </c>
      <c r="H194" s="60">
        <v>40.5</v>
      </c>
    </row>
    <row r="195" spans="1:8">
      <c r="A195" s="26" t="str">
        <f t="shared" si="11"/>
        <v>C0</v>
      </c>
      <c r="B195" s="27">
        <v>192</v>
      </c>
      <c r="C195" s="28" t="str">
        <f t="shared" si="12"/>
        <v>11000000</v>
      </c>
      <c r="D195" s="30">
        <f t="shared" si="15"/>
        <v>95.529411764705884</v>
      </c>
      <c r="F195" s="58" t="str">
        <f t="shared" si="13"/>
        <v>52</v>
      </c>
      <c r="G195" s="59">
        <f t="shared" si="14"/>
        <v>82</v>
      </c>
      <c r="H195" s="60">
        <v>41</v>
      </c>
    </row>
    <row r="196" spans="1:8">
      <c r="A196" s="26" t="str">
        <f t="shared" ref="A196:A258" si="16">DEC2HEX(B196)</f>
        <v>C1</v>
      </c>
      <c r="B196" s="27">
        <v>193</v>
      </c>
      <c r="C196" s="28" t="str">
        <f t="shared" ref="C196:C258" si="17">TEXT(DEC2BIN(B196),"00000000")</f>
        <v>11000001</v>
      </c>
      <c r="D196" s="30">
        <f t="shared" si="15"/>
        <v>96.235294117647072</v>
      </c>
      <c r="F196" s="58" t="str">
        <f t="shared" ref="F196:F259" si="18">DEC2HEX(G196)</f>
        <v>53</v>
      </c>
      <c r="G196" s="59">
        <f t="shared" ref="G196:G259" si="19">IF(H196&gt;0,2*H196,2*H196+4096)</f>
        <v>83</v>
      </c>
      <c r="H196" s="60">
        <v>41.5</v>
      </c>
    </row>
    <row r="197" spans="1:8">
      <c r="A197" s="26" t="str">
        <f t="shared" si="16"/>
        <v>C2</v>
      </c>
      <c r="B197" s="27">
        <v>194</v>
      </c>
      <c r="C197" s="28" t="str">
        <f t="shared" si="17"/>
        <v>11000010</v>
      </c>
      <c r="D197" s="30">
        <f t="shared" ref="D197:D258" si="20">(180/255)*B197-40</f>
        <v>96.941176470588232</v>
      </c>
      <c r="F197" s="58" t="str">
        <f t="shared" si="18"/>
        <v>54</v>
      </c>
      <c r="G197" s="59">
        <f t="shared" si="19"/>
        <v>84</v>
      </c>
      <c r="H197" s="60">
        <v>42</v>
      </c>
    </row>
    <row r="198" spans="1:8">
      <c r="A198" s="26" t="str">
        <f t="shared" si="16"/>
        <v>C3</v>
      </c>
      <c r="B198" s="27">
        <v>195</v>
      </c>
      <c r="C198" s="28" t="str">
        <f t="shared" si="17"/>
        <v>11000011</v>
      </c>
      <c r="D198" s="30">
        <f t="shared" si="20"/>
        <v>97.64705882352942</v>
      </c>
      <c r="F198" s="58" t="str">
        <f t="shared" si="18"/>
        <v>55</v>
      </c>
      <c r="G198" s="59">
        <f t="shared" si="19"/>
        <v>85</v>
      </c>
      <c r="H198" s="60">
        <v>42.5</v>
      </c>
    </row>
    <row r="199" spans="1:8">
      <c r="A199" s="26" t="str">
        <f t="shared" si="16"/>
        <v>C4</v>
      </c>
      <c r="B199" s="27">
        <v>196</v>
      </c>
      <c r="C199" s="28" t="str">
        <f t="shared" si="17"/>
        <v>11000100</v>
      </c>
      <c r="D199" s="30">
        <f t="shared" si="20"/>
        <v>98.352941176470608</v>
      </c>
      <c r="F199" s="58" t="str">
        <f t="shared" si="18"/>
        <v>56</v>
      </c>
      <c r="G199" s="59">
        <f t="shared" si="19"/>
        <v>86</v>
      </c>
      <c r="H199" s="60">
        <v>43</v>
      </c>
    </row>
    <row r="200" spans="1:8">
      <c r="A200" s="26" t="str">
        <f t="shared" si="16"/>
        <v>C5</v>
      </c>
      <c r="B200" s="27">
        <v>197</v>
      </c>
      <c r="C200" s="28" t="str">
        <f t="shared" si="17"/>
        <v>11000101</v>
      </c>
      <c r="D200" s="30">
        <f t="shared" si="20"/>
        <v>99.058823529411768</v>
      </c>
      <c r="F200" s="58" t="str">
        <f t="shared" si="18"/>
        <v>57</v>
      </c>
      <c r="G200" s="59">
        <f t="shared" si="19"/>
        <v>87</v>
      </c>
      <c r="H200" s="60">
        <v>43.5</v>
      </c>
    </row>
    <row r="201" spans="1:8">
      <c r="A201" s="26" t="str">
        <f t="shared" si="16"/>
        <v>C6</v>
      </c>
      <c r="B201" s="27">
        <v>198</v>
      </c>
      <c r="C201" s="28" t="str">
        <f t="shared" si="17"/>
        <v>11000110</v>
      </c>
      <c r="D201" s="30">
        <f t="shared" si="20"/>
        <v>99.764705882352956</v>
      </c>
      <c r="F201" s="58" t="str">
        <f t="shared" si="18"/>
        <v>58</v>
      </c>
      <c r="G201" s="59">
        <f t="shared" si="19"/>
        <v>88</v>
      </c>
      <c r="H201" s="60">
        <v>44</v>
      </c>
    </row>
    <row r="202" spans="1:8">
      <c r="A202" s="26" t="str">
        <f t="shared" si="16"/>
        <v>C7</v>
      </c>
      <c r="B202" s="27">
        <v>199</v>
      </c>
      <c r="C202" s="28" t="str">
        <f t="shared" si="17"/>
        <v>11000111</v>
      </c>
      <c r="D202" s="30">
        <f t="shared" si="20"/>
        <v>100.47058823529412</v>
      </c>
      <c r="F202" s="58" t="str">
        <f t="shared" si="18"/>
        <v>59</v>
      </c>
      <c r="G202" s="59">
        <f t="shared" si="19"/>
        <v>89</v>
      </c>
      <c r="H202" s="60">
        <v>44.5</v>
      </c>
    </row>
    <row r="203" spans="1:8">
      <c r="A203" s="26" t="str">
        <f t="shared" si="16"/>
        <v>C8</v>
      </c>
      <c r="B203" s="27">
        <v>200</v>
      </c>
      <c r="C203" s="28" t="str">
        <f t="shared" si="17"/>
        <v>11001000</v>
      </c>
      <c r="D203" s="30">
        <f t="shared" si="20"/>
        <v>101.1764705882353</v>
      </c>
      <c r="F203" s="58" t="str">
        <f t="shared" si="18"/>
        <v>5A</v>
      </c>
      <c r="G203" s="59">
        <f t="shared" si="19"/>
        <v>90</v>
      </c>
      <c r="H203" s="60">
        <v>45</v>
      </c>
    </row>
    <row r="204" spans="1:8">
      <c r="A204" s="26" t="str">
        <f t="shared" si="16"/>
        <v>C9</v>
      </c>
      <c r="B204" s="27">
        <v>201</v>
      </c>
      <c r="C204" s="28" t="str">
        <f t="shared" si="17"/>
        <v>11001001</v>
      </c>
      <c r="D204" s="30">
        <f t="shared" si="20"/>
        <v>101.88235294117649</v>
      </c>
      <c r="F204" s="58" t="str">
        <f t="shared" si="18"/>
        <v>5B</v>
      </c>
      <c r="G204" s="59">
        <f t="shared" si="19"/>
        <v>91</v>
      </c>
      <c r="H204" s="60">
        <v>45.5</v>
      </c>
    </row>
    <row r="205" spans="1:8">
      <c r="A205" s="26" t="str">
        <f t="shared" si="16"/>
        <v>CA</v>
      </c>
      <c r="B205" s="27">
        <v>202</v>
      </c>
      <c r="C205" s="28" t="str">
        <f t="shared" si="17"/>
        <v>11001010</v>
      </c>
      <c r="D205" s="30">
        <f t="shared" si="20"/>
        <v>102.58823529411765</v>
      </c>
      <c r="F205" s="58" t="str">
        <f t="shared" si="18"/>
        <v>5C</v>
      </c>
      <c r="G205" s="59">
        <f t="shared" si="19"/>
        <v>92</v>
      </c>
      <c r="H205" s="60">
        <v>46</v>
      </c>
    </row>
    <row r="206" spans="1:8">
      <c r="A206" s="26" t="str">
        <f t="shared" si="16"/>
        <v>CB</v>
      </c>
      <c r="B206" s="27">
        <v>203</v>
      </c>
      <c r="C206" s="28" t="str">
        <f t="shared" si="17"/>
        <v>11001011</v>
      </c>
      <c r="D206" s="30">
        <f t="shared" si="20"/>
        <v>103.29411764705884</v>
      </c>
      <c r="F206" s="58" t="str">
        <f t="shared" si="18"/>
        <v>5D</v>
      </c>
      <c r="G206" s="59">
        <f t="shared" si="19"/>
        <v>93</v>
      </c>
      <c r="H206" s="60">
        <v>46.5</v>
      </c>
    </row>
    <row r="207" spans="1:8">
      <c r="A207" s="26" t="str">
        <f t="shared" si="16"/>
        <v>CC</v>
      </c>
      <c r="B207" s="27">
        <v>204</v>
      </c>
      <c r="C207" s="28" t="str">
        <f t="shared" si="17"/>
        <v>11001100</v>
      </c>
      <c r="D207" s="30">
        <f t="shared" si="20"/>
        <v>104</v>
      </c>
      <c r="F207" s="58" t="str">
        <f t="shared" si="18"/>
        <v>5E</v>
      </c>
      <c r="G207" s="59">
        <f t="shared" si="19"/>
        <v>94</v>
      </c>
      <c r="H207" s="60">
        <v>47</v>
      </c>
    </row>
    <row r="208" spans="1:8">
      <c r="A208" s="26" t="str">
        <f t="shared" si="16"/>
        <v>CD</v>
      </c>
      <c r="B208" s="27">
        <v>205</v>
      </c>
      <c r="C208" s="28" t="str">
        <f t="shared" si="17"/>
        <v>11001101</v>
      </c>
      <c r="D208" s="30">
        <f t="shared" si="20"/>
        <v>104.70588235294119</v>
      </c>
      <c r="F208" s="58" t="str">
        <f t="shared" si="18"/>
        <v>5F</v>
      </c>
      <c r="G208" s="59">
        <f t="shared" si="19"/>
        <v>95</v>
      </c>
      <c r="H208" s="60">
        <v>47.5</v>
      </c>
    </row>
    <row r="209" spans="1:8">
      <c r="A209" s="26" t="str">
        <f t="shared" si="16"/>
        <v>CE</v>
      </c>
      <c r="B209" s="27">
        <v>206</v>
      </c>
      <c r="C209" s="28" t="str">
        <f t="shared" si="17"/>
        <v>11001110</v>
      </c>
      <c r="D209" s="30">
        <f t="shared" si="20"/>
        <v>105.41176470588238</v>
      </c>
      <c r="F209" s="58" t="str">
        <f t="shared" si="18"/>
        <v>60</v>
      </c>
      <c r="G209" s="59">
        <f t="shared" si="19"/>
        <v>96</v>
      </c>
      <c r="H209" s="60">
        <v>48</v>
      </c>
    </row>
    <row r="210" spans="1:8">
      <c r="A210" s="26" t="str">
        <f t="shared" si="16"/>
        <v>CF</v>
      </c>
      <c r="B210" s="27">
        <v>207</v>
      </c>
      <c r="C210" s="28" t="str">
        <f t="shared" si="17"/>
        <v>11001111</v>
      </c>
      <c r="D210" s="30">
        <f t="shared" si="20"/>
        <v>106.11764705882354</v>
      </c>
      <c r="F210" s="58" t="str">
        <f t="shared" si="18"/>
        <v>61</v>
      </c>
      <c r="G210" s="59">
        <f t="shared" si="19"/>
        <v>97</v>
      </c>
      <c r="H210" s="60">
        <v>48.5</v>
      </c>
    </row>
    <row r="211" spans="1:8">
      <c r="A211" s="26" t="str">
        <f t="shared" si="16"/>
        <v>D0</v>
      </c>
      <c r="B211" s="27">
        <v>208</v>
      </c>
      <c r="C211" s="28" t="str">
        <f t="shared" si="17"/>
        <v>11010000</v>
      </c>
      <c r="D211" s="30">
        <f t="shared" si="20"/>
        <v>106.82352941176472</v>
      </c>
      <c r="F211" s="58" t="str">
        <f t="shared" si="18"/>
        <v>62</v>
      </c>
      <c r="G211" s="59">
        <f t="shared" si="19"/>
        <v>98</v>
      </c>
      <c r="H211" s="60">
        <v>49</v>
      </c>
    </row>
    <row r="212" spans="1:8">
      <c r="A212" s="26" t="str">
        <f t="shared" si="16"/>
        <v>D1</v>
      </c>
      <c r="B212" s="27">
        <v>209</v>
      </c>
      <c r="C212" s="28" t="str">
        <f t="shared" si="17"/>
        <v>11010001</v>
      </c>
      <c r="D212" s="30">
        <f t="shared" si="20"/>
        <v>107.52941176470588</v>
      </c>
      <c r="F212" s="58" t="str">
        <f t="shared" si="18"/>
        <v>63</v>
      </c>
      <c r="G212" s="59">
        <f t="shared" si="19"/>
        <v>99</v>
      </c>
      <c r="H212" s="60">
        <v>49.5</v>
      </c>
    </row>
    <row r="213" spans="1:8">
      <c r="A213" s="26" t="str">
        <f t="shared" si="16"/>
        <v>D2</v>
      </c>
      <c r="B213" s="27">
        <v>210</v>
      </c>
      <c r="C213" s="28" t="str">
        <f t="shared" si="17"/>
        <v>11010010</v>
      </c>
      <c r="D213" s="30">
        <f t="shared" si="20"/>
        <v>108.23529411764707</v>
      </c>
      <c r="F213" s="58" t="str">
        <f t="shared" si="18"/>
        <v>64</v>
      </c>
      <c r="G213" s="59">
        <f t="shared" si="19"/>
        <v>100</v>
      </c>
      <c r="H213" s="60">
        <v>50</v>
      </c>
    </row>
    <row r="214" spans="1:8">
      <c r="A214" s="26" t="str">
        <f t="shared" si="16"/>
        <v>D3</v>
      </c>
      <c r="B214" s="27">
        <v>211</v>
      </c>
      <c r="C214" s="28" t="str">
        <f t="shared" si="17"/>
        <v>11010011</v>
      </c>
      <c r="D214" s="30">
        <f t="shared" si="20"/>
        <v>108.94117647058823</v>
      </c>
      <c r="F214" s="58" t="str">
        <f t="shared" si="18"/>
        <v>65</v>
      </c>
      <c r="G214" s="59">
        <f t="shared" si="19"/>
        <v>101</v>
      </c>
      <c r="H214" s="60">
        <v>50.5</v>
      </c>
    </row>
    <row r="215" spans="1:8">
      <c r="A215" s="26" t="str">
        <f t="shared" si="16"/>
        <v>D4</v>
      </c>
      <c r="B215" s="27">
        <v>212</v>
      </c>
      <c r="C215" s="28" t="str">
        <f t="shared" si="17"/>
        <v>11010100</v>
      </c>
      <c r="D215" s="30">
        <f t="shared" si="20"/>
        <v>109.64705882352942</v>
      </c>
      <c r="F215" s="58" t="str">
        <f t="shared" si="18"/>
        <v>66</v>
      </c>
      <c r="G215" s="59">
        <f t="shared" si="19"/>
        <v>102</v>
      </c>
      <c r="H215" s="60">
        <v>51</v>
      </c>
    </row>
    <row r="216" spans="1:8">
      <c r="A216" s="26" t="str">
        <f t="shared" si="16"/>
        <v>D5</v>
      </c>
      <c r="B216" s="27">
        <v>213</v>
      </c>
      <c r="C216" s="28" t="str">
        <f t="shared" si="17"/>
        <v>11010101</v>
      </c>
      <c r="D216" s="30">
        <f t="shared" si="20"/>
        <v>110.35294117647061</v>
      </c>
      <c r="F216" s="58" t="str">
        <f t="shared" si="18"/>
        <v>67</v>
      </c>
      <c r="G216" s="59">
        <f t="shared" si="19"/>
        <v>103</v>
      </c>
      <c r="H216" s="60">
        <v>51.5</v>
      </c>
    </row>
    <row r="217" spans="1:8">
      <c r="A217" s="26" t="str">
        <f t="shared" si="16"/>
        <v>D6</v>
      </c>
      <c r="B217" s="27">
        <v>214</v>
      </c>
      <c r="C217" s="28" t="str">
        <f t="shared" si="17"/>
        <v>11010110</v>
      </c>
      <c r="D217" s="30">
        <f t="shared" si="20"/>
        <v>111.05882352941177</v>
      </c>
      <c r="F217" s="58" t="str">
        <f t="shared" si="18"/>
        <v>68</v>
      </c>
      <c r="G217" s="59">
        <f t="shared" si="19"/>
        <v>104</v>
      </c>
      <c r="H217" s="60">
        <v>52</v>
      </c>
    </row>
    <row r="218" spans="1:8">
      <c r="A218" s="26" t="str">
        <f t="shared" si="16"/>
        <v>D7</v>
      </c>
      <c r="B218" s="27">
        <v>215</v>
      </c>
      <c r="C218" s="28" t="str">
        <f t="shared" si="17"/>
        <v>11010111</v>
      </c>
      <c r="D218" s="30">
        <f t="shared" si="20"/>
        <v>111.76470588235296</v>
      </c>
      <c r="F218" s="58" t="str">
        <f t="shared" si="18"/>
        <v>69</v>
      </c>
      <c r="G218" s="59">
        <f t="shared" si="19"/>
        <v>105</v>
      </c>
      <c r="H218" s="60">
        <v>52.5</v>
      </c>
    </row>
    <row r="219" spans="1:8">
      <c r="A219" s="26" t="str">
        <f t="shared" si="16"/>
        <v>D8</v>
      </c>
      <c r="B219" s="27">
        <v>216</v>
      </c>
      <c r="C219" s="28" t="str">
        <f t="shared" si="17"/>
        <v>11011000</v>
      </c>
      <c r="D219" s="30">
        <f t="shared" si="20"/>
        <v>112.47058823529412</v>
      </c>
      <c r="F219" s="58" t="str">
        <f t="shared" si="18"/>
        <v>6A</v>
      </c>
      <c r="G219" s="59">
        <f t="shared" si="19"/>
        <v>106</v>
      </c>
      <c r="H219" s="60">
        <v>53</v>
      </c>
    </row>
    <row r="220" spans="1:8">
      <c r="A220" s="26" t="str">
        <f t="shared" si="16"/>
        <v>D9</v>
      </c>
      <c r="B220" s="27">
        <v>217</v>
      </c>
      <c r="C220" s="28" t="str">
        <f t="shared" si="17"/>
        <v>11011001</v>
      </c>
      <c r="D220" s="30">
        <f t="shared" si="20"/>
        <v>113.1764705882353</v>
      </c>
      <c r="F220" s="58" t="str">
        <f t="shared" si="18"/>
        <v>6B</v>
      </c>
      <c r="G220" s="59">
        <f t="shared" si="19"/>
        <v>107</v>
      </c>
      <c r="H220" s="60">
        <v>53.5</v>
      </c>
    </row>
    <row r="221" spans="1:8">
      <c r="A221" s="26" t="str">
        <f t="shared" si="16"/>
        <v>DA</v>
      </c>
      <c r="B221" s="27">
        <v>218</v>
      </c>
      <c r="C221" s="28" t="str">
        <f t="shared" si="17"/>
        <v>11011010</v>
      </c>
      <c r="D221" s="30">
        <f t="shared" si="20"/>
        <v>113.88235294117649</v>
      </c>
      <c r="F221" s="58" t="str">
        <f t="shared" si="18"/>
        <v>6C</v>
      </c>
      <c r="G221" s="59">
        <f t="shared" si="19"/>
        <v>108</v>
      </c>
      <c r="H221" s="60">
        <v>54</v>
      </c>
    </row>
    <row r="222" spans="1:8">
      <c r="A222" s="26" t="str">
        <f t="shared" si="16"/>
        <v>DB</v>
      </c>
      <c r="B222" s="27">
        <v>219</v>
      </c>
      <c r="C222" s="28" t="str">
        <f t="shared" si="17"/>
        <v>11011011</v>
      </c>
      <c r="D222" s="30">
        <f t="shared" si="20"/>
        <v>114.58823529411765</v>
      </c>
      <c r="F222" s="58" t="str">
        <f t="shared" si="18"/>
        <v>6D</v>
      </c>
      <c r="G222" s="59">
        <f t="shared" si="19"/>
        <v>109</v>
      </c>
      <c r="H222" s="60">
        <v>54.5</v>
      </c>
    </row>
    <row r="223" spans="1:8">
      <c r="A223" s="26" t="str">
        <f t="shared" si="16"/>
        <v>DC</v>
      </c>
      <c r="B223" s="27">
        <v>220</v>
      </c>
      <c r="C223" s="28" t="str">
        <f t="shared" si="17"/>
        <v>11011100</v>
      </c>
      <c r="D223" s="30">
        <f t="shared" si="20"/>
        <v>115.29411764705884</v>
      </c>
      <c r="F223" s="58" t="str">
        <f t="shared" si="18"/>
        <v>6E</v>
      </c>
      <c r="G223" s="59">
        <f t="shared" si="19"/>
        <v>110</v>
      </c>
      <c r="H223" s="60">
        <v>55</v>
      </c>
    </row>
    <row r="224" spans="1:8">
      <c r="A224" s="26" t="str">
        <f t="shared" si="16"/>
        <v>DD</v>
      </c>
      <c r="B224" s="27">
        <v>221</v>
      </c>
      <c r="C224" s="28" t="str">
        <f t="shared" si="17"/>
        <v>11011101</v>
      </c>
      <c r="D224" s="30">
        <f t="shared" si="20"/>
        <v>116</v>
      </c>
      <c r="F224" s="58" t="str">
        <f t="shared" si="18"/>
        <v>6F</v>
      </c>
      <c r="G224" s="59">
        <f t="shared" si="19"/>
        <v>111</v>
      </c>
      <c r="H224" s="60">
        <v>55.5</v>
      </c>
    </row>
    <row r="225" spans="1:8">
      <c r="A225" s="26" t="str">
        <f t="shared" si="16"/>
        <v>DE</v>
      </c>
      <c r="B225" s="27">
        <v>222</v>
      </c>
      <c r="C225" s="28" t="str">
        <f t="shared" si="17"/>
        <v>11011110</v>
      </c>
      <c r="D225" s="30">
        <f t="shared" si="20"/>
        <v>116.70588235294119</v>
      </c>
      <c r="F225" s="58" t="str">
        <f t="shared" si="18"/>
        <v>70</v>
      </c>
      <c r="G225" s="59">
        <f t="shared" si="19"/>
        <v>112</v>
      </c>
      <c r="H225" s="60">
        <v>56</v>
      </c>
    </row>
    <row r="226" spans="1:8">
      <c r="A226" s="26" t="str">
        <f t="shared" si="16"/>
        <v>DF</v>
      </c>
      <c r="B226" s="27">
        <v>223</v>
      </c>
      <c r="C226" s="28" t="str">
        <f t="shared" si="17"/>
        <v>11011111</v>
      </c>
      <c r="D226" s="30">
        <f t="shared" si="20"/>
        <v>117.41176470588238</v>
      </c>
      <c r="F226" s="58" t="str">
        <f t="shared" si="18"/>
        <v>71</v>
      </c>
      <c r="G226" s="59">
        <f t="shared" si="19"/>
        <v>113</v>
      </c>
      <c r="H226" s="60">
        <v>56.5</v>
      </c>
    </row>
    <row r="227" spans="1:8">
      <c r="A227" s="26" t="str">
        <f t="shared" si="16"/>
        <v>E0</v>
      </c>
      <c r="B227" s="27">
        <v>224</v>
      </c>
      <c r="C227" s="28" t="str">
        <f t="shared" si="17"/>
        <v>11100000</v>
      </c>
      <c r="D227" s="30">
        <f t="shared" si="20"/>
        <v>118.11764705882354</v>
      </c>
      <c r="F227" s="58" t="str">
        <f t="shared" si="18"/>
        <v>72</v>
      </c>
      <c r="G227" s="59">
        <f t="shared" si="19"/>
        <v>114</v>
      </c>
      <c r="H227" s="60">
        <v>57</v>
      </c>
    </row>
    <row r="228" spans="1:8">
      <c r="A228" s="26" t="str">
        <f t="shared" si="16"/>
        <v>E1</v>
      </c>
      <c r="B228" s="27">
        <v>225</v>
      </c>
      <c r="C228" s="28" t="str">
        <f t="shared" si="17"/>
        <v>11100001</v>
      </c>
      <c r="D228" s="30">
        <f t="shared" si="20"/>
        <v>118.82352941176472</v>
      </c>
      <c r="F228" s="58" t="str">
        <f t="shared" si="18"/>
        <v>73</v>
      </c>
      <c r="G228" s="59">
        <f t="shared" si="19"/>
        <v>115</v>
      </c>
      <c r="H228" s="60">
        <v>57.5</v>
      </c>
    </row>
    <row r="229" spans="1:8">
      <c r="A229" s="26" t="str">
        <f t="shared" si="16"/>
        <v>E2</v>
      </c>
      <c r="B229" s="27">
        <v>226</v>
      </c>
      <c r="C229" s="28" t="str">
        <f t="shared" si="17"/>
        <v>11100010</v>
      </c>
      <c r="D229" s="30">
        <f t="shared" si="20"/>
        <v>119.52941176470588</v>
      </c>
      <c r="F229" s="58" t="str">
        <f t="shared" si="18"/>
        <v>74</v>
      </c>
      <c r="G229" s="59">
        <f t="shared" si="19"/>
        <v>116</v>
      </c>
      <c r="H229" s="60">
        <v>58</v>
      </c>
    </row>
    <row r="230" spans="1:8">
      <c r="A230" s="26" t="str">
        <f t="shared" si="16"/>
        <v>E3</v>
      </c>
      <c r="B230" s="27">
        <v>227</v>
      </c>
      <c r="C230" s="28" t="str">
        <f t="shared" si="17"/>
        <v>11100011</v>
      </c>
      <c r="D230" s="30">
        <f t="shared" si="20"/>
        <v>120.23529411764707</v>
      </c>
      <c r="F230" s="58" t="str">
        <f t="shared" si="18"/>
        <v>75</v>
      </c>
      <c r="G230" s="59">
        <f t="shared" si="19"/>
        <v>117</v>
      </c>
      <c r="H230" s="60">
        <v>58.5</v>
      </c>
    </row>
    <row r="231" spans="1:8">
      <c r="A231" s="26" t="str">
        <f t="shared" si="16"/>
        <v>E4</v>
      </c>
      <c r="B231" s="27">
        <v>228</v>
      </c>
      <c r="C231" s="28" t="str">
        <f t="shared" si="17"/>
        <v>11100100</v>
      </c>
      <c r="D231" s="30">
        <f t="shared" si="20"/>
        <v>120.94117647058823</v>
      </c>
      <c r="F231" s="58" t="str">
        <f t="shared" si="18"/>
        <v>76</v>
      </c>
      <c r="G231" s="59">
        <f t="shared" si="19"/>
        <v>118</v>
      </c>
      <c r="H231" s="60">
        <v>59</v>
      </c>
    </row>
    <row r="232" spans="1:8">
      <c r="A232" s="26" t="str">
        <f t="shared" si="16"/>
        <v>E5</v>
      </c>
      <c r="B232" s="27">
        <v>229</v>
      </c>
      <c r="C232" s="28" t="str">
        <f t="shared" si="17"/>
        <v>11100101</v>
      </c>
      <c r="D232" s="30">
        <f t="shared" si="20"/>
        <v>121.64705882352942</v>
      </c>
      <c r="F232" s="58" t="str">
        <f t="shared" si="18"/>
        <v>77</v>
      </c>
      <c r="G232" s="59">
        <f t="shared" si="19"/>
        <v>119</v>
      </c>
      <c r="H232" s="60">
        <v>59.5</v>
      </c>
    </row>
    <row r="233" spans="1:8">
      <c r="A233" s="26" t="str">
        <f t="shared" si="16"/>
        <v>E6</v>
      </c>
      <c r="B233" s="27">
        <v>230</v>
      </c>
      <c r="C233" s="28" t="str">
        <f t="shared" si="17"/>
        <v>11100110</v>
      </c>
      <c r="D233" s="30">
        <f t="shared" si="20"/>
        <v>122.35294117647061</v>
      </c>
      <c r="F233" s="58" t="str">
        <f t="shared" si="18"/>
        <v>78</v>
      </c>
      <c r="G233" s="59">
        <f t="shared" si="19"/>
        <v>120</v>
      </c>
      <c r="H233" s="60">
        <v>60</v>
      </c>
    </row>
    <row r="234" spans="1:8">
      <c r="A234" s="26" t="str">
        <f t="shared" si="16"/>
        <v>E7</v>
      </c>
      <c r="B234" s="27">
        <v>231</v>
      </c>
      <c r="C234" s="28" t="str">
        <f t="shared" si="17"/>
        <v>11100111</v>
      </c>
      <c r="D234" s="30">
        <f t="shared" si="20"/>
        <v>123.05882352941177</v>
      </c>
      <c r="F234" s="58" t="str">
        <f t="shared" si="18"/>
        <v>79</v>
      </c>
      <c r="G234" s="59">
        <f t="shared" si="19"/>
        <v>121</v>
      </c>
      <c r="H234" s="60">
        <v>60.5</v>
      </c>
    </row>
    <row r="235" spans="1:8">
      <c r="A235" s="26" t="str">
        <f t="shared" si="16"/>
        <v>E8</v>
      </c>
      <c r="B235" s="27">
        <v>232</v>
      </c>
      <c r="C235" s="28" t="str">
        <f t="shared" si="17"/>
        <v>11101000</v>
      </c>
      <c r="D235" s="30">
        <f t="shared" si="20"/>
        <v>123.76470588235296</v>
      </c>
      <c r="F235" s="58" t="str">
        <f t="shared" si="18"/>
        <v>7A</v>
      </c>
      <c r="G235" s="59">
        <f t="shared" si="19"/>
        <v>122</v>
      </c>
      <c r="H235" s="60">
        <v>61</v>
      </c>
    </row>
    <row r="236" spans="1:8">
      <c r="A236" s="26" t="str">
        <f t="shared" si="16"/>
        <v>E9</v>
      </c>
      <c r="B236" s="27">
        <v>233</v>
      </c>
      <c r="C236" s="28" t="str">
        <f t="shared" si="17"/>
        <v>11101001</v>
      </c>
      <c r="D236" s="30">
        <f t="shared" si="20"/>
        <v>124.47058823529412</v>
      </c>
      <c r="F236" s="58" t="str">
        <f t="shared" si="18"/>
        <v>7B</v>
      </c>
      <c r="G236" s="59">
        <f t="shared" si="19"/>
        <v>123</v>
      </c>
      <c r="H236" s="60">
        <v>61.5</v>
      </c>
    </row>
    <row r="237" spans="1:8">
      <c r="A237" s="26" t="str">
        <f t="shared" si="16"/>
        <v>EA</v>
      </c>
      <c r="B237" s="27">
        <v>234</v>
      </c>
      <c r="C237" s="28" t="str">
        <f t="shared" si="17"/>
        <v>11101010</v>
      </c>
      <c r="D237" s="30">
        <f t="shared" si="20"/>
        <v>125.1764705882353</v>
      </c>
      <c r="F237" s="58" t="str">
        <f t="shared" si="18"/>
        <v>7C</v>
      </c>
      <c r="G237" s="59">
        <f t="shared" si="19"/>
        <v>124</v>
      </c>
      <c r="H237" s="60">
        <v>62</v>
      </c>
    </row>
    <row r="238" spans="1:8">
      <c r="A238" s="26" t="str">
        <f t="shared" si="16"/>
        <v>EB</v>
      </c>
      <c r="B238" s="27">
        <v>235</v>
      </c>
      <c r="C238" s="28" t="str">
        <f t="shared" si="17"/>
        <v>11101011</v>
      </c>
      <c r="D238" s="30">
        <f t="shared" si="20"/>
        <v>125.88235294117649</v>
      </c>
      <c r="F238" s="58" t="str">
        <f t="shared" si="18"/>
        <v>7D</v>
      </c>
      <c r="G238" s="59">
        <f t="shared" si="19"/>
        <v>125</v>
      </c>
      <c r="H238" s="60">
        <v>62.5</v>
      </c>
    </row>
    <row r="239" spans="1:8">
      <c r="A239" s="26" t="str">
        <f t="shared" si="16"/>
        <v>EC</v>
      </c>
      <c r="B239" s="27">
        <v>236</v>
      </c>
      <c r="C239" s="28" t="str">
        <f t="shared" si="17"/>
        <v>11101100</v>
      </c>
      <c r="D239" s="30">
        <f t="shared" si="20"/>
        <v>126.58823529411765</v>
      </c>
      <c r="F239" s="58" t="str">
        <f t="shared" si="18"/>
        <v>7E</v>
      </c>
      <c r="G239" s="59">
        <f t="shared" si="19"/>
        <v>126</v>
      </c>
      <c r="H239" s="60">
        <v>63</v>
      </c>
    </row>
    <row r="240" spans="1:8">
      <c r="A240" s="26" t="str">
        <f t="shared" si="16"/>
        <v>ED</v>
      </c>
      <c r="B240" s="27">
        <v>237</v>
      </c>
      <c r="C240" s="28" t="str">
        <f t="shared" si="17"/>
        <v>11101101</v>
      </c>
      <c r="D240" s="30">
        <f t="shared" si="20"/>
        <v>127.29411764705884</v>
      </c>
      <c r="F240" s="58" t="str">
        <f t="shared" si="18"/>
        <v>7F</v>
      </c>
      <c r="G240" s="59">
        <f t="shared" si="19"/>
        <v>127</v>
      </c>
      <c r="H240" s="60">
        <v>63.5</v>
      </c>
    </row>
    <row r="241" spans="1:8">
      <c r="A241" s="26" t="str">
        <f t="shared" si="16"/>
        <v>EE</v>
      </c>
      <c r="B241" s="27">
        <v>238</v>
      </c>
      <c r="C241" s="28" t="str">
        <f t="shared" si="17"/>
        <v>11101110</v>
      </c>
      <c r="D241" s="30">
        <f t="shared" si="20"/>
        <v>128</v>
      </c>
      <c r="F241" s="58" t="str">
        <f t="shared" si="18"/>
        <v>80</v>
      </c>
      <c r="G241" s="59">
        <f t="shared" si="19"/>
        <v>128</v>
      </c>
      <c r="H241" s="60">
        <v>64</v>
      </c>
    </row>
    <row r="242" spans="1:8">
      <c r="A242" s="26" t="str">
        <f t="shared" si="16"/>
        <v>EF</v>
      </c>
      <c r="B242" s="27">
        <v>239</v>
      </c>
      <c r="C242" s="28" t="str">
        <f t="shared" si="17"/>
        <v>11101111</v>
      </c>
      <c r="D242" s="30">
        <f t="shared" si="20"/>
        <v>128.70588235294119</v>
      </c>
      <c r="F242" s="58" t="str">
        <f t="shared" si="18"/>
        <v>81</v>
      </c>
      <c r="G242" s="59">
        <f t="shared" si="19"/>
        <v>129</v>
      </c>
      <c r="H242" s="60">
        <v>64.5</v>
      </c>
    </row>
    <row r="243" spans="1:8">
      <c r="A243" s="26" t="str">
        <f t="shared" si="16"/>
        <v>F0</v>
      </c>
      <c r="B243" s="27">
        <v>240</v>
      </c>
      <c r="C243" s="28" t="str">
        <f t="shared" si="17"/>
        <v>11110000</v>
      </c>
      <c r="D243" s="30">
        <f t="shared" si="20"/>
        <v>129.41176470588238</v>
      </c>
      <c r="F243" s="58" t="str">
        <f t="shared" si="18"/>
        <v>82</v>
      </c>
      <c r="G243" s="59">
        <f t="shared" si="19"/>
        <v>130</v>
      </c>
      <c r="H243" s="60">
        <v>65</v>
      </c>
    </row>
    <row r="244" spans="1:8">
      <c r="A244" s="26" t="str">
        <f t="shared" si="16"/>
        <v>F1</v>
      </c>
      <c r="B244" s="27">
        <v>241</v>
      </c>
      <c r="C244" s="28" t="str">
        <f t="shared" si="17"/>
        <v>11110001</v>
      </c>
      <c r="D244" s="30">
        <f t="shared" si="20"/>
        <v>130.11764705882354</v>
      </c>
      <c r="F244" s="58" t="str">
        <f t="shared" si="18"/>
        <v>83</v>
      </c>
      <c r="G244" s="59">
        <f t="shared" si="19"/>
        <v>131</v>
      </c>
      <c r="H244" s="60">
        <v>65.5</v>
      </c>
    </row>
    <row r="245" spans="1:8">
      <c r="A245" s="26" t="str">
        <f t="shared" si="16"/>
        <v>F2</v>
      </c>
      <c r="B245" s="27">
        <v>242</v>
      </c>
      <c r="C245" s="28" t="str">
        <f t="shared" si="17"/>
        <v>11110010</v>
      </c>
      <c r="D245" s="30">
        <f t="shared" si="20"/>
        <v>130.82352941176472</v>
      </c>
      <c r="F245" s="58" t="str">
        <f t="shared" si="18"/>
        <v>84</v>
      </c>
      <c r="G245" s="59">
        <f t="shared" si="19"/>
        <v>132</v>
      </c>
      <c r="H245" s="60">
        <v>66</v>
      </c>
    </row>
    <row r="246" spans="1:8">
      <c r="A246" s="26" t="str">
        <f t="shared" si="16"/>
        <v>F3</v>
      </c>
      <c r="B246" s="27">
        <v>243</v>
      </c>
      <c r="C246" s="28" t="str">
        <f t="shared" si="17"/>
        <v>11110011</v>
      </c>
      <c r="D246" s="30">
        <f t="shared" si="20"/>
        <v>131.52941176470588</v>
      </c>
      <c r="F246" s="58" t="str">
        <f t="shared" si="18"/>
        <v>85</v>
      </c>
      <c r="G246" s="59">
        <f t="shared" si="19"/>
        <v>133</v>
      </c>
      <c r="H246" s="60">
        <v>66.5</v>
      </c>
    </row>
    <row r="247" spans="1:8">
      <c r="A247" s="26" t="str">
        <f t="shared" si="16"/>
        <v>F4</v>
      </c>
      <c r="B247" s="27">
        <v>244</v>
      </c>
      <c r="C247" s="28" t="str">
        <f t="shared" si="17"/>
        <v>11110100</v>
      </c>
      <c r="D247" s="30">
        <f t="shared" si="20"/>
        <v>132.23529411764707</v>
      </c>
      <c r="F247" s="58" t="str">
        <f t="shared" si="18"/>
        <v>86</v>
      </c>
      <c r="G247" s="59">
        <f t="shared" si="19"/>
        <v>134</v>
      </c>
      <c r="H247" s="60">
        <v>67</v>
      </c>
    </row>
    <row r="248" spans="1:8">
      <c r="A248" s="26" t="str">
        <f t="shared" si="16"/>
        <v>F5</v>
      </c>
      <c r="B248" s="27">
        <v>245</v>
      </c>
      <c r="C248" s="28" t="str">
        <f t="shared" si="17"/>
        <v>11110101</v>
      </c>
      <c r="D248" s="30">
        <f t="shared" si="20"/>
        <v>132.94117647058826</v>
      </c>
      <c r="F248" s="58" t="str">
        <f t="shared" si="18"/>
        <v>87</v>
      </c>
      <c r="G248" s="59">
        <f t="shared" si="19"/>
        <v>135</v>
      </c>
      <c r="H248" s="60">
        <v>67.5</v>
      </c>
    </row>
    <row r="249" spans="1:8">
      <c r="A249" s="26" t="str">
        <f t="shared" si="16"/>
        <v>F6</v>
      </c>
      <c r="B249" s="27">
        <v>246</v>
      </c>
      <c r="C249" s="28" t="str">
        <f t="shared" si="17"/>
        <v>11110110</v>
      </c>
      <c r="D249" s="30">
        <f t="shared" si="20"/>
        <v>133.64705882352942</v>
      </c>
      <c r="F249" s="58" t="str">
        <f t="shared" si="18"/>
        <v>88</v>
      </c>
      <c r="G249" s="59">
        <f t="shared" si="19"/>
        <v>136</v>
      </c>
      <c r="H249" s="60">
        <v>68</v>
      </c>
    </row>
    <row r="250" spans="1:8">
      <c r="A250" s="26" t="str">
        <f t="shared" si="16"/>
        <v>F7</v>
      </c>
      <c r="B250" s="27">
        <v>247</v>
      </c>
      <c r="C250" s="28" t="str">
        <f t="shared" si="17"/>
        <v>11110111</v>
      </c>
      <c r="D250" s="30">
        <f t="shared" si="20"/>
        <v>134.35294117647061</v>
      </c>
      <c r="F250" s="58" t="str">
        <f t="shared" si="18"/>
        <v>89</v>
      </c>
      <c r="G250" s="59">
        <f t="shared" si="19"/>
        <v>137</v>
      </c>
      <c r="H250" s="60">
        <v>68.5</v>
      </c>
    </row>
    <row r="251" spans="1:8">
      <c r="A251" s="26" t="str">
        <f t="shared" si="16"/>
        <v>F8</v>
      </c>
      <c r="B251" s="27">
        <v>248</v>
      </c>
      <c r="C251" s="28" t="str">
        <f t="shared" si="17"/>
        <v>11111000</v>
      </c>
      <c r="D251" s="30">
        <f t="shared" si="20"/>
        <v>135.05882352941177</v>
      </c>
      <c r="F251" s="58" t="str">
        <f t="shared" si="18"/>
        <v>8A</v>
      </c>
      <c r="G251" s="59">
        <f t="shared" si="19"/>
        <v>138</v>
      </c>
      <c r="H251" s="60">
        <v>69</v>
      </c>
    </row>
    <row r="252" spans="1:8">
      <c r="A252" s="26" t="str">
        <f t="shared" si="16"/>
        <v>F9</v>
      </c>
      <c r="B252" s="27">
        <v>249</v>
      </c>
      <c r="C252" s="28" t="str">
        <f t="shared" si="17"/>
        <v>11111001</v>
      </c>
      <c r="D252" s="30">
        <f t="shared" si="20"/>
        <v>135.76470588235296</v>
      </c>
      <c r="F252" s="58" t="str">
        <f t="shared" si="18"/>
        <v>8B</v>
      </c>
      <c r="G252" s="59">
        <f t="shared" si="19"/>
        <v>139</v>
      </c>
      <c r="H252" s="60">
        <v>69.5</v>
      </c>
    </row>
    <row r="253" spans="1:8">
      <c r="A253" s="26" t="str">
        <f t="shared" si="16"/>
        <v>FA</v>
      </c>
      <c r="B253" s="27">
        <v>250</v>
      </c>
      <c r="C253" s="28" t="str">
        <f t="shared" si="17"/>
        <v>11111010</v>
      </c>
      <c r="D253" s="30">
        <f t="shared" si="20"/>
        <v>136.47058823529412</v>
      </c>
      <c r="F253" s="58" t="str">
        <f t="shared" si="18"/>
        <v>8C</v>
      </c>
      <c r="G253" s="59">
        <f t="shared" si="19"/>
        <v>140</v>
      </c>
      <c r="H253" s="60">
        <v>70</v>
      </c>
    </row>
    <row r="254" spans="1:8">
      <c r="A254" s="26" t="str">
        <f t="shared" si="16"/>
        <v>FB</v>
      </c>
      <c r="B254" s="27">
        <v>251</v>
      </c>
      <c r="C254" s="28" t="str">
        <f t="shared" si="17"/>
        <v>11111011</v>
      </c>
      <c r="D254" s="30">
        <f t="shared" si="20"/>
        <v>137.1764705882353</v>
      </c>
      <c r="F254" s="58" t="str">
        <f t="shared" si="18"/>
        <v>8D</v>
      </c>
      <c r="G254" s="59">
        <f t="shared" si="19"/>
        <v>141</v>
      </c>
      <c r="H254" s="60">
        <v>70.5</v>
      </c>
    </row>
    <row r="255" spans="1:8">
      <c r="A255" s="26" t="str">
        <f t="shared" si="16"/>
        <v>FC</v>
      </c>
      <c r="B255" s="27">
        <v>252</v>
      </c>
      <c r="C255" s="28" t="str">
        <f t="shared" si="17"/>
        <v>11111100</v>
      </c>
      <c r="D255" s="30">
        <f t="shared" si="20"/>
        <v>137.88235294117649</v>
      </c>
      <c r="F255" s="58" t="str">
        <f t="shared" si="18"/>
        <v>8E</v>
      </c>
      <c r="G255" s="59">
        <f t="shared" si="19"/>
        <v>142</v>
      </c>
      <c r="H255" s="60">
        <v>71</v>
      </c>
    </row>
    <row r="256" spans="1:8">
      <c r="A256" s="26" t="str">
        <f t="shared" si="16"/>
        <v>FD</v>
      </c>
      <c r="B256" s="27">
        <v>253</v>
      </c>
      <c r="C256" s="28" t="str">
        <f t="shared" si="17"/>
        <v>11111101</v>
      </c>
      <c r="D256" s="30">
        <f t="shared" si="20"/>
        <v>138.58823529411765</v>
      </c>
      <c r="F256" s="58" t="str">
        <f t="shared" si="18"/>
        <v>8F</v>
      </c>
      <c r="G256" s="59">
        <f t="shared" si="19"/>
        <v>143</v>
      </c>
      <c r="H256" s="60">
        <v>71.5</v>
      </c>
    </row>
    <row r="257" spans="1:8">
      <c r="A257" s="26" t="str">
        <f t="shared" si="16"/>
        <v>FE</v>
      </c>
      <c r="B257" s="27">
        <v>254</v>
      </c>
      <c r="C257" s="28" t="str">
        <f t="shared" si="17"/>
        <v>11111110</v>
      </c>
      <c r="D257" s="30">
        <f t="shared" si="20"/>
        <v>139.29411764705884</v>
      </c>
      <c r="F257" s="58" t="str">
        <f t="shared" si="18"/>
        <v>90</v>
      </c>
      <c r="G257" s="59">
        <f t="shared" si="19"/>
        <v>144</v>
      </c>
      <c r="H257" s="60">
        <v>72</v>
      </c>
    </row>
    <row r="258" spans="1:8">
      <c r="A258" s="26" t="str">
        <f t="shared" si="16"/>
        <v>FF</v>
      </c>
      <c r="B258" s="27">
        <v>255</v>
      </c>
      <c r="C258" s="28" t="str">
        <f t="shared" si="17"/>
        <v>11111111</v>
      </c>
      <c r="D258" s="30">
        <f t="shared" si="20"/>
        <v>140</v>
      </c>
      <c r="F258" s="58" t="str">
        <f t="shared" si="18"/>
        <v>91</v>
      </c>
      <c r="G258" s="59">
        <f t="shared" si="19"/>
        <v>145</v>
      </c>
      <c r="H258" s="60">
        <v>72.5</v>
      </c>
    </row>
    <row r="259" spans="1:8">
      <c r="F259" s="58" t="str">
        <f t="shared" si="18"/>
        <v>92</v>
      </c>
      <c r="G259" s="59">
        <f t="shared" si="19"/>
        <v>146</v>
      </c>
      <c r="H259" s="60">
        <v>73</v>
      </c>
    </row>
    <row r="260" spans="1:8">
      <c r="F260" s="58" t="str">
        <f t="shared" ref="F260:F323" si="21">DEC2HEX(G260)</f>
        <v>93</v>
      </c>
      <c r="G260" s="59">
        <f t="shared" ref="G260:G323" si="22">IF(H260&gt;0,2*H260,2*H260+4096)</f>
        <v>147</v>
      </c>
      <c r="H260" s="60">
        <v>73.5</v>
      </c>
    </row>
    <row r="261" spans="1:8">
      <c r="F261" s="58" t="str">
        <f t="shared" si="21"/>
        <v>94</v>
      </c>
      <c r="G261" s="59">
        <f t="shared" si="22"/>
        <v>148</v>
      </c>
      <c r="H261" s="60">
        <v>74</v>
      </c>
    </row>
    <row r="262" spans="1:8">
      <c r="F262" s="58" t="str">
        <f t="shared" si="21"/>
        <v>95</v>
      </c>
      <c r="G262" s="59">
        <f t="shared" si="22"/>
        <v>149</v>
      </c>
      <c r="H262" s="60">
        <v>74.5</v>
      </c>
    </row>
    <row r="263" spans="1:8">
      <c r="F263" s="58" t="str">
        <f t="shared" si="21"/>
        <v>96</v>
      </c>
      <c r="G263" s="59">
        <f t="shared" si="22"/>
        <v>150</v>
      </c>
      <c r="H263" s="60">
        <v>75</v>
      </c>
    </row>
    <row r="264" spans="1:8">
      <c r="F264" s="58" t="str">
        <f t="shared" si="21"/>
        <v>97</v>
      </c>
      <c r="G264" s="59">
        <f t="shared" si="22"/>
        <v>151</v>
      </c>
      <c r="H264" s="60">
        <v>75.5</v>
      </c>
    </row>
    <row r="265" spans="1:8">
      <c r="F265" s="58" t="str">
        <f t="shared" si="21"/>
        <v>98</v>
      </c>
      <c r="G265" s="59">
        <f t="shared" si="22"/>
        <v>152</v>
      </c>
      <c r="H265" s="60">
        <v>76</v>
      </c>
    </row>
    <row r="266" spans="1:8">
      <c r="F266" s="58" t="str">
        <f t="shared" si="21"/>
        <v>99</v>
      </c>
      <c r="G266" s="59">
        <f t="shared" si="22"/>
        <v>153</v>
      </c>
      <c r="H266" s="60">
        <v>76.5</v>
      </c>
    </row>
    <row r="267" spans="1:8">
      <c r="F267" s="58" t="str">
        <f t="shared" si="21"/>
        <v>9A</v>
      </c>
      <c r="G267" s="59">
        <f t="shared" si="22"/>
        <v>154</v>
      </c>
      <c r="H267" s="60">
        <v>77</v>
      </c>
    </row>
    <row r="268" spans="1:8">
      <c r="F268" s="58" t="str">
        <f t="shared" si="21"/>
        <v>9B</v>
      </c>
      <c r="G268" s="59">
        <f t="shared" si="22"/>
        <v>155</v>
      </c>
      <c r="H268" s="60">
        <v>77.5</v>
      </c>
    </row>
    <row r="269" spans="1:8">
      <c r="F269" s="58" t="str">
        <f t="shared" si="21"/>
        <v>9C</v>
      </c>
      <c r="G269" s="59">
        <f t="shared" si="22"/>
        <v>156</v>
      </c>
      <c r="H269" s="60">
        <v>78</v>
      </c>
    </row>
    <row r="270" spans="1:8">
      <c r="F270" s="58" t="str">
        <f t="shared" si="21"/>
        <v>9D</v>
      </c>
      <c r="G270" s="59">
        <f t="shared" si="22"/>
        <v>157</v>
      </c>
      <c r="H270" s="60">
        <v>78.5</v>
      </c>
    </row>
    <row r="271" spans="1:8">
      <c r="F271" s="58" t="str">
        <f t="shared" si="21"/>
        <v>9E</v>
      </c>
      <c r="G271" s="59">
        <f t="shared" si="22"/>
        <v>158</v>
      </c>
      <c r="H271" s="60">
        <v>79</v>
      </c>
    </row>
    <row r="272" spans="1:8">
      <c r="F272" s="58" t="str">
        <f t="shared" si="21"/>
        <v>9F</v>
      </c>
      <c r="G272" s="59">
        <f t="shared" si="22"/>
        <v>159</v>
      </c>
      <c r="H272" s="60">
        <v>79.5</v>
      </c>
    </row>
    <row r="273" spans="6:8">
      <c r="F273" s="58" t="str">
        <f t="shared" si="21"/>
        <v>A0</v>
      </c>
      <c r="G273" s="59">
        <f t="shared" si="22"/>
        <v>160</v>
      </c>
      <c r="H273" s="60">
        <v>80</v>
      </c>
    </row>
    <row r="274" spans="6:8">
      <c r="F274" s="58" t="str">
        <f t="shared" si="21"/>
        <v>A1</v>
      </c>
      <c r="G274" s="59">
        <f t="shared" si="22"/>
        <v>161</v>
      </c>
      <c r="H274" s="60">
        <v>80.5</v>
      </c>
    </row>
    <row r="275" spans="6:8">
      <c r="F275" s="58" t="str">
        <f t="shared" si="21"/>
        <v>A2</v>
      </c>
      <c r="G275" s="59">
        <f t="shared" si="22"/>
        <v>162</v>
      </c>
      <c r="H275" s="60">
        <v>81</v>
      </c>
    </row>
    <row r="276" spans="6:8">
      <c r="F276" s="58" t="str">
        <f t="shared" si="21"/>
        <v>A3</v>
      </c>
      <c r="G276" s="59">
        <f t="shared" si="22"/>
        <v>163</v>
      </c>
      <c r="H276" s="60">
        <v>81.5</v>
      </c>
    </row>
    <row r="277" spans="6:8">
      <c r="F277" s="58" t="str">
        <f t="shared" si="21"/>
        <v>A4</v>
      </c>
      <c r="G277" s="59">
        <f t="shared" si="22"/>
        <v>164</v>
      </c>
      <c r="H277" s="60">
        <v>82</v>
      </c>
    </row>
    <row r="278" spans="6:8">
      <c r="F278" s="58" t="str">
        <f t="shared" si="21"/>
        <v>A5</v>
      </c>
      <c r="G278" s="59">
        <f t="shared" si="22"/>
        <v>165</v>
      </c>
      <c r="H278" s="60">
        <v>82.5</v>
      </c>
    </row>
    <row r="279" spans="6:8">
      <c r="F279" s="58" t="str">
        <f t="shared" si="21"/>
        <v>A6</v>
      </c>
      <c r="G279" s="59">
        <f t="shared" si="22"/>
        <v>166</v>
      </c>
      <c r="H279" s="60">
        <v>83</v>
      </c>
    </row>
    <row r="280" spans="6:8">
      <c r="F280" s="58" t="str">
        <f t="shared" si="21"/>
        <v>A7</v>
      </c>
      <c r="G280" s="59">
        <f t="shared" si="22"/>
        <v>167</v>
      </c>
      <c r="H280" s="60">
        <v>83.5</v>
      </c>
    </row>
    <row r="281" spans="6:8">
      <c r="F281" s="58" t="str">
        <f t="shared" si="21"/>
        <v>A8</v>
      </c>
      <c r="G281" s="59">
        <f t="shared" si="22"/>
        <v>168</v>
      </c>
      <c r="H281" s="60">
        <v>84</v>
      </c>
    </row>
    <row r="282" spans="6:8">
      <c r="F282" s="58" t="str">
        <f t="shared" si="21"/>
        <v>A9</v>
      </c>
      <c r="G282" s="59">
        <f t="shared" si="22"/>
        <v>169</v>
      </c>
      <c r="H282" s="60">
        <v>84.5</v>
      </c>
    </row>
    <row r="283" spans="6:8">
      <c r="F283" s="58" t="str">
        <f t="shared" si="21"/>
        <v>AA</v>
      </c>
      <c r="G283" s="59">
        <f t="shared" si="22"/>
        <v>170</v>
      </c>
      <c r="H283" s="60">
        <v>85</v>
      </c>
    </row>
    <row r="284" spans="6:8">
      <c r="F284" s="58" t="str">
        <f t="shared" si="21"/>
        <v>AB</v>
      </c>
      <c r="G284" s="59">
        <f t="shared" si="22"/>
        <v>171</v>
      </c>
      <c r="H284" s="60">
        <v>85.5</v>
      </c>
    </row>
    <row r="285" spans="6:8">
      <c r="F285" s="58" t="str">
        <f t="shared" si="21"/>
        <v>AC</v>
      </c>
      <c r="G285" s="59">
        <f t="shared" si="22"/>
        <v>172</v>
      </c>
      <c r="H285" s="60">
        <v>86</v>
      </c>
    </row>
    <row r="286" spans="6:8">
      <c r="F286" s="58" t="str">
        <f t="shared" si="21"/>
        <v>AD</v>
      </c>
      <c r="G286" s="59">
        <f t="shared" si="22"/>
        <v>173</v>
      </c>
      <c r="H286" s="60">
        <v>86.5</v>
      </c>
    </row>
    <row r="287" spans="6:8">
      <c r="F287" s="58" t="str">
        <f t="shared" si="21"/>
        <v>AE</v>
      </c>
      <c r="G287" s="59">
        <f t="shared" si="22"/>
        <v>174</v>
      </c>
      <c r="H287" s="60">
        <v>87</v>
      </c>
    </row>
    <row r="288" spans="6:8">
      <c r="F288" s="58" t="str">
        <f t="shared" si="21"/>
        <v>AF</v>
      </c>
      <c r="G288" s="59">
        <f t="shared" si="22"/>
        <v>175</v>
      </c>
      <c r="H288" s="60">
        <v>87.5</v>
      </c>
    </row>
    <row r="289" spans="6:8">
      <c r="F289" s="58" t="str">
        <f t="shared" si="21"/>
        <v>B0</v>
      </c>
      <c r="G289" s="59">
        <f t="shared" si="22"/>
        <v>176</v>
      </c>
      <c r="H289" s="60">
        <v>88</v>
      </c>
    </row>
    <row r="290" spans="6:8">
      <c r="F290" s="58" t="str">
        <f t="shared" si="21"/>
        <v>B1</v>
      </c>
      <c r="G290" s="59">
        <f t="shared" si="22"/>
        <v>177</v>
      </c>
      <c r="H290" s="60">
        <v>88.5</v>
      </c>
    </row>
    <row r="291" spans="6:8">
      <c r="F291" s="58" t="str">
        <f t="shared" si="21"/>
        <v>B2</v>
      </c>
      <c r="G291" s="59">
        <f t="shared" si="22"/>
        <v>178</v>
      </c>
      <c r="H291" s="60">
        <v>89</v>
      </c>
    </row>
    <row r="292" spans="6:8">
      <c r="F292" s="58" t="str">
        <f t="shared" si="21"/>
        <v>B3</v>
      </c>
      <c r="G292" s="59">
        <f t="shared" si="22"/>
        <v>179</v>
      </c>
      <c r="H292" s="60">
        <v>89.5</v>
      </c>
    </row>
    <row r="293" spans="6:8">
      <c r="F293" s="58" t="str">
        <f t="shared" si="21"/>
        <v>B4</v>
      </c>
      <c r="G293" s="59">
        <f t="shared" si="22"/>
        <v>180</v>
      </c>
      <c r="H293" s="60">
        <v>90</v>
      </c>
    </row>
    <row r="294" spans="6:8">
      <c r="F294" s="58" t="str">
        <f t="shared" si="21"/>
        <v>B5</v>
      </c>
      <c r="G294" s="59">
        <f t="shared" si="22"/>
        <v>181</v>
      </c>
      <c r="H294" s="60">
        <v>90.5</v>
      </c>
    </row>
    <row r="295" spans="6:8">
      <c r="F295" s="58" t="str">
        <f t="shared" si="21"/>
        <v>B6</v>
      </c>
      <c r="G295" s="59">
        <f t="shared" si="22"/>
        <v>182</v>
      </c>
      <c r="H295" s="60">
        <v>91</v>
      </c>
    </row>
    <row r="296" spans="6:8">
      <c r="F296" s="58" t="str">
        <f t="shared" si="21"/>
        <v>B7</v>
      </c>
      <c r="G296" s="59">
        <f t="shared" si="22"/>
        <v>183</v>
      </c>
      <c r="H296" s="60">
        <v>91.5</v>
      </c>
    </row>
    <row r="297" spans="6:8">
      <c r="F297" s="58" t="str">
        <f t="shared" si="21"/>
        <v>B8</v>
      </c>
      <c r="G297" s="59">
        <f t="shared" si="22"/>
        <v>184</v>
      </c>
      <c r="H297" s="60">
        <v>92</v>
      </c>
    </row>
    <row r="298" spans="6:8">
      <c r="F298" s="58" t="str">
        <f t="shared" si="21"/>
        <v>B9</v>
      </c>
      <c r="G298" s="59">
        <f t="shared" si="22"/>
        <v>185</v>
      </c>
      <c r="H298" s="60">
        <v>92.5</v>
      </c>
    </row>
    <row r="299" spans="6:8">
      <c r="F299" s="58" t="str">
        <f t="shared" si="21"/>
        <v>BA</v>
      </c>
      <c r="G299" s="59">
        <f t="shared" si="22"/>
        <v>186</v>
      </c>
      <c r="H299" s="60">
        <v>93</v>
      </c>
    </row>
    <row r="300" spans="6:8">
      <c r="F300" s="58" t="str">
        <f t="shared" si="21"/>
        <v>BB</v>
      </c>
      <c r="G300" s="59">
        <f t="shared" si="22"/>
        <v>187</v>
      </c>
      <c r="H300" s="60">
        <v>93.5</v>
      </c>
    </row>
    <row r="301" spans="6:8">
      <c r="F301" s="58" t="str">
        <f t="shared" si="21"/>
        <v>BC</v>
      </c>
      <c r="G301" s="59">
        <f t="shared" si="22"/>
        <v>188</v>
      </c>
      <c r="H301" s="60">
        <v>94</v>
      </c>
    </row>
    <row r="302" spans="6:8">
      <c r="F302" s="58" t="str">
        <f t="shared" si="21"/>
        <v>BD</v>
      </c>
      <c r="G302" s="59">
        <f t="shared" si="22"/>
        <v>189</v>
      </c>
      <c r="H302" s="60">
        <v>94.5</v>
      </c>
    </row>
    <row r="303" spans="6:8">
      <c r="F303" s="58" t="str">
        <f t="shared" si="21"/>
        <v>BE</v>
      </c>
      <c r="G303" s="59">
        <f t="shared" si="22"/>
        <v>190</v>
      </c>
      <c r="H303" s="60">
        <v>95</v>
      </c>
    </row>
    <row r="304" spans="6:8">
      <c r="F304" s="58" t="str">
        <f t="shared" si="21"/>
        <v>BF</v>
      </c>
      <c r="G304" s="59">
        <f t="shared" si="22"/>
        <v>191</v>
      </c>
      <c r="H304" s="60">
        <v>95.5</v>
      </c>
    </row>
    <row r="305" spans="6:8">
      <c r="F305" s="58" t="str">
        <f t="shared" si="21"/>
        <v>C0</v>
      </c>
      <c r="G305" s="59">
        <f t="shared" si="22"/>
        <v>192</v>
      </c>
      <c r="H305" s="60">
        <v>96</v>
      </c>
    </row>
    <row r="306" spans="6:8">
      <c r="F306" s="58" t="str">
        <f t="shared" si="21"/>
        <v>C1</v>
      </c>
      <c r="G306" s="59">
        <f t="shared" si="22"/>
        <v>193</v>
      </c>
      <c r="H306" s="60">
        <v>96.5</v>
      </c>
    </row>
    <row r="307" spans="6:8">
      <c r="F307" s="58" t="str">
        <f t="shared" si="21"/>
        <v>C2</v>
      </c>
      <c r="G307" s="59">
        <f t="shared" si="22"/>
        <v>194</v>
      </c>
      <c r="H307" s="60">
        <v>97</v>
      </c>
    </row>
    <row r="308" spans="6:8">
      <c r="F308" s="58" t="str">
        <f t="shared" si="21"/>
        <v>C3</v>
      </c>
      <c r="G308" s="59">
        <f t="shared" si="22"/>
        <v>195</v>
      </c>
      <c r="H308" s="60">
        <v>97.5</v>
      </c>
    </row>
    <row r="309" spans="6:8">
      <c r="F309" s="58" t="str">
        <f t="shared" si="21"/>
        <v>C4</v>
      </c>
      <c r="G309" s="59">
        <f t="shared" si="22"/>
        <v>196</v>
      </c>
      <c r="H309" s="60">
        <v>98</v>
      </c>
    </row>
    <row r="310" spans="6:8">
      <c r="F310" s="58" t="str">
        <f t="shared" si="21"/>
        <v>C5</v>
      </c>
      <c r="G310" s="59">
        <f t="shared" si="22"/>
        <v>197</v>
      </c>
      <c r="H310" s="60">
        <v>98.5</v>
      </c>
    </row>
    <row r="311" spans="6:8">
      <c r="F311" s="58" t="str">
        <f t="shared" si="21"/>
        <v>C6</v>
      </c>
      <c r="G311" s="59">
        <f t="shared" si="22"/>
        <v>198</v>
      </c>
      <c r="H311" s="60">
        <v>99</v>
      </c>
    </row>
    <row r="312" spans="6:8">
      <c r="F312" s="58" t="str">
        <f t="shared" si="21"/>
        <v>C7</v>
      </c>
      <c r="G312" s="59">
        <f t="shared" si="22"/>
        <v>199</v>
      </c>
      <c r="H312" s="60">
        <v>99.5</v>
      </c>
    </row>
    <row r="313" spans="6:8">
      <c r="F313" s="58" t="str">
        <f t="shared" si="21"/>
        <v>C8</v>
      </c>
      <c r="G313" s="59">
        <f t="shared" si="22"/>
        <v>200</v>
      </c>
      <c r="H313" s="60">
        <v>100</v>
      </c>
    </row>
    <row r="314" spans="6:8">
      <c r="F314" s="58" t="str">
        <f t="shared" si="21"/>
        <v>C9</v>
      </c>
      <c r="G314" s="59">
        <f t="shared" si="22"/>
        <v>201</v>
      </c>
      <c r="H314" s="60">
        <v>100.5</v>
      </c>
    </row>
    <row r="315" spans="6:8">
      <c r="F315" s="58" t="str">
        <f t="shared" si="21"/>
        <v>CA</v>
      </c>
      <c r="G315" s="59">
        <f t="shared" si="22"/>
        <v>202</v>
      </c>
      <c r="H315" s="60">
        <v>101</v>
      </c>
    </row>
    <row r="316" spans="6:8">
      <c r="F316" s="58" t="str">
        <f t="shared" si="21"/>
        <v>CB</v>
      </c>
      <c r="G316" s="59">
        <f t="shared" si="22"/>
        <v>203</v>
      </c>
      <c r="H316" s="60">
        <v>101.5</v>
      </c>
    </row>
    <row r="317" spans="6:8">
      <c r="F317" s="58" t="str">
        <f t="shared" si="21"/>
        <v>CC</v>
      </c>
      <c r="G317" s="59">
        <f t="shared" si="22"/>
        <v>204</v>
      </c>
      <c r="H317" s="60">
        <v>102</v>
      </c>
    </row>
    <row r="318" spans="6:8">
      <c r="F318" s="58" t="str">
        <f t="shared" si="21"/>
        <v>CD</v>
      </c>
      <c r="G318" s="59">
        <f t="shared" si="22"/>
        <v>205</v>
      </c>
      <c r="H318" s="60">
        <v>102.5</v>
      </c>
    </row>
    <row r="319" spans="6:8">
      <c r="F319" s="58" t="str">
        <f t="shared" si="21"/>
        <v>CE</v>
      </c>
      <c r="G319" s="59">
        <f t="shared" si="22"/>
        <v>206</v>
      </c>
      <c r="H319" s="60">
        <v>103</v>
      </c>
    </row>
    <row r="320" spans="6:8">
      <c r="F320" s="58" t="str">
        <f t="shared" si="21"/>
        <v>CF</v>
      </c>
      <c r="G320" s="59">
        <f t="shared" si="22"/>
        <v>207</v>
      </c>
      <c r="H320" s="60">
        <v>103.5</v>
      </c>
    </row>
    <row r="321" spans="6:8">
      <c r="F321" s="58" t="str">
        <f t="shared" si="21"/>
        <v>D0</v>
      </c>
      <c r="G321" s="59">
        <f t="shared" si="22"/>
        <v>208</v>
      </c>
      <c r="H321" s="60">
        <v>104</v>
      </c>
    </row>
    <row r="322" spans="6:8">
      <c r="F322" s="58" t="str">
        <f t="shared" si="21"/>
        <v>D1</v>
      </c>
      <c r="G322" s="59">
        <f t="shared" si="22"/>
        <v>209</v>
      </c>
      <c r="H322" s="60">
        <v>104.5</v>
      </c>
    </row>
    <row r="323" spans="6:8">
      <c r="F323" s="58" t="str">
        <f t="shared" si="21"/>
        <v>D2</v>
      </c>
      <c r="G323" s="59">
        <f t="shared" si="22"/>
        <v>210</v>
      </c>
      <c r="H323" s="60">
        <v>105</v>
      </c>
    </row>
    <row r="324" spans="6:8">
      <c r="F324" s="58" t="str">
        <f t="shared" ref="F324:F363" si="23">DEC2HEX(G324)</f>
        <v>D3</v>
      </c>
      <c r="G324" s="59">
        <f t="shared" ref="G324:G363" si="24">IF(H324&gt;0,2*H324,2*H324+4096)</f>
        <v>211</v>
      </c>
      <c r="H324" s="60">
        <v>105.5</v>
      </c>
    </row>
    <row r="325" spans="6:8">
      <c r="F325" s="58" t="str">
        <f t="shared" si="23"/>
        <v>D4</v>
      </c>
      <c r="G325" s="59">
        <f t="shared" si="24"/>
        <v>212</v>
      </c>
      <c r="H325" s="60">
        <v>106</v>
      </c>
    </row>
    <row r="326" spans="6:8">
      <c r="F326" s="58" t="str">
        <f t="shared" si="23"/>
        <v>D5</v>
      </c>
      <c r="G326" s="59">
        <f t="shared" si="24"/>
        <v>213</v>
      </c>
      <c r="H326" s="60">
        <v>106.5</v>
      </c>
    </row>
    <row r="327" spans="6:8">
      <c r="F327" s="58" t="str">
        <f t="shared" si="23"/>
        <v>D6</v>
      </c>
      <c r="G327" s="59">
        <f t="shared" si="24"/>
        <v>214</v>
      </c>
      <c r="H327" s="60">
        <v>107</v>
      </c>
    </row>
    <row r="328" spans="6:8">
      <c r="F328" s="58" t="str">
        <f t="shared" si="23"/>
        <v>D7</v>
      </c>
      <c r="G328" s="59">
        <f t="shared" si="24"/>
        <v>215</v>
      </c>
      <c r="H328" s="60">
        <v>107.5</v>
      </c>
    </row>
    <row r="329" spans="6:8">
      <c r="F329" s="58" t="str">
        <f t="shared" si="23"/>
        <v>D8</v>
      </c>
      <c r="G329" s="59">
        <f t="shared" si="24"/>
        <v>216</v>
      </c>
      <c r="H329" s="60">
        <v>108</v>
      </c>
    </row>
    <row r="330" spans="6:8">
      <c r="F330" s="58" t="str">
        <f t="shared" si="23"/>
        <v>D9</v>
      </c>
      <c r="G330" s="59">
        <f t="shared" si="24"/>
        <v>217</v>
      </c>
      <c r="H330" s="60">
        <v>108.5</v>
      </c>
    </row>
    <row r="331" spans="6:8">
      <c r="F331" s="58" t="str">
        <f t="shared" si="23"/>
        <v>DA</v>
      </c>
      <c r="G331" s="59">
        <f t="shared" si="24"/>
        <v>218</v>
      </c>
      <c r="H331" s="60">
        <v>109</v>
      </c>
    </row>
    <row r="332" spans="6:8">
      <c r="F332" s="58" t="str">
        <f t="shared" si="23"/>
        <v>DB</v>
      </c>
      <c r="G332" s="59">
        <f t="shared" si="24"/>
        <v>219</v>
      </c>
      <c r="H332" s="60">
        <v>109.5</v>
      </c>
    </row>
    <row r="333" spans="6:8">
      <c r="F333" s="58" t="str">
        <f t="shared" si="23"/>
        <v>DC</v>
      </c>
      <c r="G333" s="59">
        <f t="shared" si="24"/>
        <v>220</v>
      </c>
      <c r="H333" s="60">
        <v>110</v>
      </c>
    </row>
    <row r="334" spans="6:8">
      <c r="F334" s="58" t="str">
        <f t="shared" si="23"/>
        <v>DD</v>
      </c>
      <c r="G334" s="59">
        <f t="shared" si="24"/>
        <v>221</v>
      </c>
      <c r="H334" s="60">
        <v>110.5</v>
      </c>
    </row>
    <row r="335" spans="6:8">
      <c r="F335" s="58" t="str">
        <f t="shared" si="23"/>
        <v>DE</v>
      </c>
      <c r="G335" s="59">
        <f t="shared" si="24"/>
        <v>222</v>
      </c>
      <c r="H335" s="60">
        <v>111</v>
      </c>
    </row>
    <row r="336" spans="6:8">
      <c r="F336" s="58" t="str">
        <f t="shared" si="23"/>
        <v>DF</v>
      </c>
      <c r="G336" s="59">
        <f t="shared" si="24"/>
        <v>223</v>
      </c>
      <c r="H336" s="60">
        <v>111.5</v>
      </c>
    </row>
    <row r="337" spans="6:8">
      <c r="F337" s="58" t="str">
        <f t="shared" si="23"/>
        <v>E0</v>
      </c>
      <c r="G337" s="59">
        <f t="shared" si="24"/>
        <v>224</v>
      </c>
      <c r="H337" s="60">
        <v>112</v>
      </c>
    </row>
    <row r="338" spans="6:8">
      <c r="F338" s="58" t="str">
        <f t="shared" si="23"/>
        <v>E1</v>
      </c>
      <c r="G338" s="59">
        <f t="shared" si="24"/>
        <v>225</v>
      </c>
      <c r="H338" s="60">
        <v>112.5</v>
      </c>
    </row>
    <row r="339" spans="6:8">
      <c r="F339" s="58" t="str">
        <f t="shared" si="23"/>
        <v>E2</v>
      </c>
      <c r="G339" s="59">
        <f t="shared" si="24"/>
        <v>226</v>
      </c>
      <c r="H339" s="60">
        <v>113</v>
      </c>
    </row>
    <row r="340" spans="6:8">
      <c r="F340" s="58" t="str">
        <f t="shared" si="23"/>
        <v>E3</v>
      </c>
      <c r="G340" s="59">
        <f t="shared" si="24"/>
        <v>227</v>
      </c>
      <c r="H340" s="60">
        <v>113.5</v>
      </c>
    </row>
    <row r="341" spans="6:8">
      <c r="F341" s="58" t="str">
        <f t="shared" si="23"/>
        <v>E4</v>
      </c>
      <c r="G341" s="59">
        <f t="shared" si="24"/>
        <v>228</v>
      </c>
      <c r="H341" s="60">
        <v>114</v>
      </c>
    </row>
    <row r="342" spans="6:8">
      <c r="F342" s="58" t="str">
        <f t="shared" si="23"/>
        <v>E5</v>
      </c>
      <c r="G342" s="59">
        <f t="shared" si="24"/>
        <v>229</v>
      </c>
      <c r="H342" s="60">
        <v>114.5</v>
      </c>
    </row>
    <row r="343" spans="6:8">
      <c r="F343" s="58" t="str">
        <f t="shared" si="23"/>
        <v>E6</v>
      </c>
      <c r="G343" s="59">
        <f t="shared" si="24"/>
        <v>230</v>
      </c>
      <c r="H343" s="60">
        <v>115</v>
      </c>
    </row>
    <row r="344" spans="6:8">
      <c r="F344" s="58" t="str">
        <f t="shared" si="23"/>
        <v>E7</v>
      </c>
      <c r="G344" s="59">
        <f t="shared" si="24"/>
        <v>231</v>
      </c>
      <c r="H344" s="60">
        <v>115.5</v>
      </c>
    </row>
    <row r="345" spans="6:8">
      <c r="F345" s="58" t="str">
        <f t="shared" si="23"/>
        <v>E8</v>
      </c>
      <c r="G345" s="59">
        <f t="shared" si="24"/>
        <v>232</v>
      </c>
      <c r="H345" s="60">
        <v>116</v>
      </c>
    </row>
    <row r="346" spans="6:8">
      <c r="F346" s="58" t="str">
        <f t="shared" si="23"/>
        <v>E9</v>
      </c>
      <c r="G346" s="59">
        <f t="shared" si="24"/>
        <v>233</v>
      </c>
      <c r="H346" s="60">
        <v>116.5</v>
      </c>
    </row>
    <row r="347" spans="6:8">
      <c r="F347" s="58" t="str">
        <f t="shared" si="23"/>
        <v>EA</v>
      </c>
      <c r="G347" s="59">
        <f t="shared" si="24"/>
        <v>234</v>
      </c>
      <c r="H347" s="60">
        <v>117</v>
      </c>
    </row>
    <row r="348" spans="6:8">
      <c r="F348" s="58" t="str">
        <f t="shared" si="23"/>
        <v>EB</v>
      </c>
      <c r="G348" s="59">
        <f t="shared" si="24"/>
        <v>235</v>
      </c>
      <c r="H348" s="60">
        <v>117.5</v>
      </c>
    </row>
    <row r="349" spans="6:8">
      <c r="F349" s="58" t="str">
        <f t="shared" si="23"/>
        <v>EC</v>
      </c>
      <c r="G349" s="59">
        <f t="shared" si="24"/>
        <v>236</v>
      </c>
      <c r="H349" s="60">
        <v>118</v>
      </c>
    </row>
    <row r="350" spans="6:8">
      <c r="F350" s="58" t="str">
        <f t="shared" si="23"/>
        <v>ED</v>
      </c>
      <c r="G350" s="59">
        <f t="shared" si="24"/>
        <v>237</v>
      </c>
      <c r="H350" s="60">
        <v>118.5</v>
      </c>
    </row>
    <row r="351" spans="6:8">
      <c r="F351" s="58" t="str">
        <f t="shared" si="23"/>
        <v>EE</v>
      </c>
      <c r="G351" s="59">
        <f t="shared" si="24"/>
        <v>238</v>
      </c>
      <c r="H351" s="60">
        <v>119</v>
      </c>
    </row>
    <row r="352" spans="6:8">
      <c r="F352" s="58" t="str">
        <f t="shared" si="23"/>
        <v>EF</v>
      </c>
      <c r="G352" s="59">
        <f t="shared" si="24"/>
        <v>239</v>
      </c>
      <c r="H352" s="60">
        <v>119.5</v>
      </c>
    </row>
    <row r="353" spans="6:8">
      <c r="F353" s="58" t="str">
        <f t="shared" si="23"/>
        <v>F0</v>
      </c>
      <c r="G353" s="59">
        <f t="shared" si="24"/>
        <v>240</v>
      </c>
      <c r="H353" s="60">
        <v>120</v>
      </c>
    </row>
    <row r="354" spans="6:8">
      <c r="F354" s="58" t="str">
        <f t="shared" si="23"/>
        <v>F1</v>
      </c>
      <c r="G354" s="59">
        <f t="shared" si="24"/>
        <v>241</v>
      </c>
      <c r="H354" s="60">
        <v>120.5</v>
      </c>
    </row>
    <row r="355" spans="6:8">
      <c r="F355" s="58" t="str">
        <f t="shared" si="23"/>
        <v>F2</v>
      </c>
      <c r="G355" s="59">
        <f t="shared" si="24"/>
        <v>242</v>
      </c>
      <c r="H355" s="60">
        <v>121</v>
      </c>
    </row>
    <row r="356" spans="6:8">
      <c r="F356" s="58" t="str">
        <f t="shared" si="23"/>
        <v>F3</v>
      </c>
      <c r="G356" s="59">
        <f t="shared" si="24"/>
        <v>243</v>
      </c>
      <c r="H356" s="60">
        <v>121.5</v>
      </c>
    </row>
    <row r="357" spans="6:8">
      <c r="F357" s="58" t="str">
        <f t="shared" si="23"/>
        <v>F4</v>
      </c>
      <c r="G357" s="59">
        <f t="shared" si="24"/>
        <v>244</v>
      </c>
      <c r="H357" s="60">
        <v>122</v>
      </c>
    </row>
    <row r="358" spans="6:8">
      <c r="F358" s="58" t="str">
        <f t="shared" si="23"/>
        <v>F5</v>
      </c>
      <c r="G358" s="59">
        <f t="shared" si="24"/>
        <v>245</v>
      </c>
      <c r="H358" s="60">
        <v>122.5</v>
      </c>
    </row>
    <row r="359" spans="6:8">
      <c r="F359" s="58" t="str">
        <f t="shared" si="23"/>
        <v>F6</v>
      </c>
      <c r="G359" s="59">
        <f t="shared" si="24"/>
        <v>246</v>
      </c>
      <c r="H359" s="60">
        <v>123</v>
      </c>
    </row>
    <row r="360" spans="6:8">
      <c r="F360" s="58" t="str">
        <f t="shared" si="23"/>
        <v>F7</v>
      </c>
      <c r="G360" s="59">
        <f t="shared" si="24"/>
        <v>247</v>
      </c>
      <c r="H360" s="60">
        <v>123.5</v>
      </c>
    </row>
    <row r="361" spans="6:8">
      <c r="F361" s="58" t="str">
        <f t="shared" si="23"/>
        <v>F8</v>
      </c>
      <c r="G361" s="59">
        <f t="shared" si="24"/>
        <v>248</v>
      </c>
      <c r="H361" s="60">
        <v>124</v>
      </c>
    </row>
    <row r="362" spans="6:8">
      <c r="F362" s="58" t="str">
        <f t="shared" si="23"/>
        <v>F9</v>
      </c>
      <c r="G362" s="59">
        <f t="shared" si="24"/>
        <v>249</v>
      </c>
      <c r="H362" s="60">
        <v>124.5</v>
      </c>
    </row>
    <row r="363" spans="6:8">
      <c r="F363" s="58" t="str">
        <f t="shared" si="23"/>
        <v>FA</v>
      </c>
      <c r="G363" s="59">
        <f t="shared" si="24"/>
        <v>250</v>
      </c>
      <c r="H363" s="60">
        <v>125</v>
      </c>
    </row>
  </sheetData>
  <mergeCells count="3">
    <mergeCell ref="A1:D1"/>
    <mergeCell ref="F1:H1"/>
    <mergeCell ref="J1:R9"/>
  </mergeCells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多点测量multimetering</vt:lpstr>
      <vt:lpstr>三点法three-point method</vt:lpstr>
      <vt:lpstr>两点法two-point method</vt:lpstr>
      <vt:lpstr>单点法single-point method</vt:lpstr>
      <vt:lpstr>温度码字temperature code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huawei</cp:lastModifiedBy>
  <dcterms:created xsi:type="dcterms:W3CDTF">2006-09-13T11:21:51Z</dcterms:created>
  <dcterms:modified xsi:type="dcterms:W3CDTF">2012-11-26T11:40:53Z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1353900751</vt:lpwstr>
  </property>
</Properties>
</file>